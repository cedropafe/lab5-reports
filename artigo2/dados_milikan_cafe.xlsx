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<sst xmlns="http://schemas.openxmlformats.org/spreadsheetml/2006/main" count="49" uniqueCount="30">
  <si>
    <t xml:space="preserve">U</t>
  </si>
  <si>
    <t xml:space="preserve">t1_sub.</t>
  </si>
  <si>
    <t xml:space="preserve">s1_sub.</t>
  </si>
  <si>
    <t xml:space="preserve">t2_desc.</t>
  </si>
  <si>
    <t xml:space="preserve">s2_desc.</t>
  </si>
  <si>
    <t xml:space="preserve">s1_sub</t>
  </si>
  <si>
    <t xml:space="preserve">10^4.v1_sub</t>
  </si>
  <si>
    <t xml:space="preserve">10^4.v2_desc.</t>
  </si>
  <si>
    <t xml:space="preserve">10^4(v1-v2)</t>
  </si>
  <si>
    <t xml:space="preserve">10^7*r</t>
  </si>
  <si>
    <t xml:space="preserve">10^19*Q</t>
  </si>
  <si>
    <t xml:space="preserve">n</t>
  </si>
  <si>
    <t xml:space="preserve">d (m)</t>
  </si>
  <si>
    <t xml:space="preserve">(V)</t>
  </si>
  <si>
    <t xml:space="preserve">(s)</t>
  </si>
  <si>
    <t xml:space="preserve">(div)</t>
  </si>
  <si>
    <t xml:space="preserve">(div.)</t>
  </si>
  <si>
    <t xml:space="preserve">(mm)</t>
  </si>
  <si>
    <t xml:space="preserve">(m/s)</t>
  </si>
  <si>
    <t xml:space="preserve">(m)</t>
  </si>
  <si>
    <t xml:space="preserve">(A.s)</t>
  </si>
  <si>
    <t xml:space="preserve">p1 (kg m^-3)</t>
  </si>
  <si>
    <t xml:space="preserve">n (kg m-1 s-1)</t>
  </si>
  <si>
    <t xml:space="preserve">g (m s-2)</t>
  </si>
  <si>
    <t xml:space="preserve">p2 (kg m^-3)</t>
  </si>
  <si>
    <t xml:space="preserve">e (A.s)</t>
  </si>
  <si>
    <t xml:space="preserve">C1</t>
  </si>
  <si>
    <t xml:space="preserve">C2</t>
  </si>
  <si>
    <t xml:space="preserve">b1</t>
  </si>
  <si>
    <t xml:space="preserve">b2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</si>
</sst>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E+00"/>
    <numFmt numFmtId="166" formatCode="#,##0.000"/>
    <numFmt numFmtId="167" formatCode="#,##0.00"/>
    <numFmt numFmtId="168" formatCode="0.00000"/>
    <numFmt numFmtId="169" formatCode="0.0000"/>
    <numFmt numFmtId="170" formatCode="0"/>
    <numFmt numFmtId="171" formatCode="0.00"/>
    <numFmt numFmtId="172" formatCode="0.000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29" activeCellId="0" sqref="Q29"/>
    </sheetView>
  </sheetViews>
  <sheetFormatPr defaultColWidth="8.6796875" defaultRowHeight="14.25" zeroHeight="false" outlineLevelRow="0" outlineLevelCol="0"/>
  <cols>
    <col collapsed="false" customWidth="true" hidden="false" outlineLevel="0" max="2" min="2" style="0" width="9.73"/>
    <col collapsed="false" customWidth="true" hidden="false" outlineLevel="0" max="8" min="8" style="0" width="11.27"/>
    <col collapsed="false" customWidth="true" hidden="false" outlineLevel="0" max="13" min="9" style="0" width="12.54"/>
    <col collapsed="false" customWidth="true" hidden="false" outlineLevel="0" max="15" min="15" style="0" width="12.09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4</v>
      </c>
      <c r="H1" s="0" t="s">
        <v>6</v>
      </c>
      <c r="I1" s="0" t="s">
        <v>7</v>
      </c>
      <c r="J1" s="0" t="s">
        <v>8</v>
      </c>
      <c r="K1" s="0" t="s">
        <v>9</v>
      </c>
      <c r="L1" s="0" t="s">
        <v>10</v>
      </c>
      <c r="M1" s="0" t="s">
        <v>11</v>
      </c>
      <c r="O1" s="0" t="s">
        <v>12</v>
      </c>
      <c r="P1" s="1" t="n">
        <v>0.0025</v>
      </c>
      <c r="Q1" s="1"/>
    </row>
    <row r="2" customFormat="false" ht="14.25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14</v>
      </c>
      <c r="E2" s="0" t="s">
        <v>16</v>
      </c>
      <c r="F2" s="0" t="s">
        <v>17</v>
      </c>
      <c r="G2" s="0" t="s">
        <v>17</v>
      </c>
      <c r="H2" s="0" t="s">
        <v>18</v>
      </c>
      <c r="I2" s="0" t="s">
        <v>18</v>
      </c>
      <c r="J2" s="0" t="s">
        <v>18</v>
      </c>
      <c r="K2" s="0" t="s">
        <v>19</v>
      </c>
      <c r="L2" s="0" t="s">
        <v>20</v>
      </c>
      <c r="O2" s="0" t="s">
        <v>21</v>
      </c>
      <c r="P2" s="0" t="n">
        <v>1030</v>
      </c>
    </row>
    <row r="3" customFormat="false" ht="14.25" hidden="false" customHeight="false" outlineLevel="0" collapsed="false">
      <c r="A3" s="0" t="n">
        <v>300</v>
      </c>
      <c r="B3" s="0" t="n">
        <v>9.6</v>
      </c>
      <c r="C3" s="0" t="n">
        <v>150</v>
      </c>
      <c r="D3" s="0" t="n">
        <v>13.5</v>
      </c>
      <c r="E3" s="0" t="n">
        <v>150</v>
      </c>
      <c r="F3" s="0" t="n">
        <f aca="false">C3*0.89/30</f>
        <v>4.45</v>
      </c>
      <c r="G3" s="0" t="n">
        <f aca="false">E3*0.89/30</f>
        <v>4.45</v>
      </c>
      <c r="H3" s="2" t="n">
        <f aca="false">F3*10^-3/B3*10^4</f>
        <v>4.63541666666667</v>
      </c>
      <c r="I3" s="2" t="n">
        <f aca="false">G3*10^-3/D3*10^4</f>
        <v>3.2962962962963</v>
      </c>
      <c r="J3" s="3" t="n">
        <f aca="false">H3-I3</f>
        <v>1.33912037037037</v>
      </c>
      <c r="K3" s="4" t="n">
        <f aca="false">$P$9*SQRT(J3*10^-4)*10^7</f>
        <v>7.37150916887399</v>
      </c>
      <c r="L3" s="5" t="n">
        <f aca="false">$P$8*(H3+I3)*10^-4/A3*SQRT(J3*10^-4)*10^19</f>
        <v>8.35765940769661</v>
      </c>
      <c r="M3" s="6" t="n">
        <f aca="false">L3*10^-19/$P$6</f>
        <v>4.97479726648608</v>
      </c>
      <c r="O3" s="7" t="s">
        <v>22</v>
      </c>
      <c r="P3" s="1" t="n">
        <v>1.82E-005</v>
      </c>
    </row>
    <row r="4" customFormat="false" ht="14.25" hidden="false" customHeight="false" outlineLevel="0" collapsed="false">
      <c r="A4" s="0" t="n">
        <v>300</v>
      </c>
      <c r="B4" s="0" t="n">
        <v>7</v>
      </c>
      <c r="C4" s="0" t="n">
        <v>90</v>
      </c>
      <c r="D4" s="0" t="n">
        <v>11.2</v>
      </c>
      <c r="E4" s="0" t="n">
        <v>120</v>
      </c>
      <c r="F4" s="0" t="n">
        <f aca="false">C4*0.89/30</f>
        <v>2.67</v>
      </c>
      <c r="G4" s="0" t="n">
        <f aca="false">E4*0.89/30</f>
        <v>3.56</v>
      </c>
      <c r="H4" s="2" t="n">
        <f aca="false">F4*10^-3/B4*10^4</f>
        <v>3.81428571428571</v>
      </c>
      <c r="I4" s="2" t="n">
        <f aca="false">G4*10^-3/D4*10^4</f>
        <v>3.17857142857143</v>
      </c>
      <c r="J4" s="3" t="n">
        <f aca="false">H4-I4</f>
        <v>0.635714285714286</v>
      </c>
      <c r="K4" s="4" t="n">
        <f aca="false">$P$9*SQRT(J4*10^-4)*10^7</f>
        <v>5.07899268462966</v>
      </c>
      <c r="L4" s="5" t="n">
        <f aca="false">$P$8*(H4+I4)*10^-4/A4*SQRT(J4*10^-4)*10^19</f>
        <v>5.07684042367119</v>
      </c>
      <c r="M4" s="6" t="n">
        <f aca="false">L4*10^-19/$P$6</f>
        <v>3.0219288236138</v>
      </c>
      <c r="O4" s="7" t="s">
        <v>23</v>
      </c>
      <c r="P4" s="0" t="n">
        <v>9.81</v>
      </c>
    </row>
    <row r="5" customFormat="false" ht="14.25" hidden="false" customHeight="false" outlineLevel="0" collapsed="false">
      <c r="A5" s="0" t="n">
        <v>300</v>
      </c>
      <c r="B5" s="0" t="n">
        <v>5.8</v>
      </c>
      <c r="C5" s="0" t="n">
        <v>90</v>
      </c>
      <c r="D5" s="0" t="n">
        <v>7.1</v>
      </c>
      <c r="E5" s="0" t="n">
        <v>60</v>
      </c>
      <c r="F5" s="0" t="n">
        <f aca="false">C5*0.89/30</f>
        <v>2.67</v>
      </c>
      <c r="G5" s="0" t="n">
        <f aca="false">E5*0.89/30</f>
        <v>1.78</v>
      </c>
      <c r="H5" s="2" t="n">
        <f aca="false">F5*10^-3/B5*10^4</f>
        <v>4.60344827586207</v>
      </c>
      <c r="I5" s="2" t="n">
        <f aca="false">G5*10^-3/D5*10^4</f>
        <v>2.50704225352113</v>
      </c>
      <c r="J5" s="3" t="n">
        <f aca="false">H5-I5</f>
        <v>2.09640602234094</v>
      </c>
      <c r="K5" s="4" t="n">
        <f aca="false">$P$9*SQRT(J5*10^-4)*10^7</f>
        <v>9.22325680887865</v>
      </c>
      <c r="L5" s="5" t="n">
        <f aca="false">$P$8*(H5+I5)*10^-4/A5*SQRT(J5*10^-4)*10^19</f>
        <v>9.37443566205763</v>
      </c>
      <c r="M5" s="6" t="n">
        <f aca="false">L5*10^-19/$P$6</f>
        <v>5.58002122741526</v>
      </c>
      <c r="O5" s="7" t="s">
        <v>24</v>
      </c>
      <c r="P5" s="0" t="n">
        <v>1.293</v>
      </c>
    </row>
    <row r="6" customFormat="false" ht="14.25" hidden="false" customHeight="false" outlineLevel="0" collapsed="false">
      <c r="A6" s="0" t="n">
        <v>400</v>
      </c>
      <c r="B6" s="0" t="n">
        <v>6.9</v>
      </c>
      <c r="C6" s="0" t="n">
        <v>90</v>
      </c>
      <c r="D6" s="0" t="n">
        <v>9.8</v>
      </c>
      <c r="E6" s="0" t="n">
        <v>90</v>
      </c>
      <c r="F6" s="0" t="n">
        <f aca="false">C6*0.89/30</f>
        <v>2.67</v>
      </c>
      <c r="G6" s="0" t="n">
        <f aca="false">E6*0.89/30</f>
        <v>2.67</v>
      </c>
      <c r="H6" s="2" t="n">
        <f aca="false">F6*10^-3/B6*10^4</f>
        <v>3.8695652173913</v>
      </c>
      <c r="I6" s="2" t="n">
        <f aca="false">G6*10^-3/D6*10^4</f>
        <v>2.72448979591837</v>
      </c>
      <c r="J6" s="3" t="n">
        <f aca="false">H6-I6</f>
        <v>1.14507542147294</v>
      </c>
      <c r="K6" s="4" t="n">
        <f aca="false">$P$9*SQRT(J6*10^-4)*10^7</f>
        <v>6.81653467463526</v>
      </c>
      <c r="L6" s="5" t="n">
        <f aca="false">$P$8*(H6+I6)*10^-4/A6*SQRT(J6*10^-4)*10^19</f>
        <v>4.81879828455589</v>
      </c>
      <c r="M6" s="6" t="n">
        <f aca="false">L6*10^-19/$P$6</f>
        <v>2.86833231223565</v>
      </c>
      <c r="O6" s="7" t="s">
        <v>25</v>
      </c>
      <c r="P6" s="1" t="n">
        <v>1.68E-019</v>
      </c>
    </row>
    <row r="7" customFormat="false" ht="14.25" hidden="false" customHeight="false" outlineLevel="0" collapsed="false">
      <c r="F7" s="3"/>
      <c r="G7" s="3"/>
      <c r="H7" s="2"/>
      <c r="I7" s="2"/>
      <c r="J7" s="3"/>
      <c r="K7" s="4"/>
      <c r="L7" s="5"/>
      <c r="M7" s="6"/>
    </row>
    <row r="8" customFormat="false" ht="14.25" hidden="false" customHeight="false" outlineLevel="0" collapsed="false">
      <c r="A8" s="0" t="n">
        <v>551</v>
      </c>
      <c r="B8" s="0" t="n">
        <v>0.806</v>
      </c>
      <c r="C8" s="0" t="n">
        <v>10</v>
      </c>
      <c r="D8" s="0" t="n">
        <v>1.221</v>
      </c>
      <c r="E8" s="0" t="n">
        <v>10</v>
      </c>
      <c r="F8" s="3" t="n">
        <f aca="false">C8*0.89/30</f>
        <v>0.296666666666667</v>
      </c>
      <c r="G8" s="3" t="n">
        <f aca="false">E8*0.89/30</f>
        <v>0.296666666666667</v>
      </c>
      <c r="H8" s="2" t="n">
        <f aca="false">F8*10^-3/B8*10^4</f>
        <v>3.68072787427626</v>
      </c>
      <c r="I8" s="2" t="n">
        <f aca="false">G8*10^-3/D8*10^4</f>
        <v>2.42970242970243</v>
      </c>
      <c r="J8" s="3" t="n">
        <f aca="false">H8-I8</f>
        <v>1.25102544457383</v>
      </c>
      <c r="K8" s="4" t="n">
        <f aca="false">$P$9*SQRT(J8*10^-4)*10^7</f>
        <v>7.1249147649729</v>
      </c>
      <c r="L8" s="5" t="n">
        <f aca="false">$P$8*(H8+I8)*10^-4/A8*SQRT(J8*10^-4)*10^19</f>
        <v>3.38830419404399</v>
      </c>
      <c r="M8" s="6" t="n">
        <f aca="false">L8*10^-19/$P$6</f>
        <v>2.01684773455</v>
      </c>
      <c r="O8" s="7" t="s">
        <v>26</v>
      </c>
      <c r="P8" s="1" t="n">
        <f aca="false">4.5*PI()*P1*SQRT(P3^3/(P4*(P2-P5)))</f>
        <v>2.7316756153596E-011</v>
      </c>
    </row>
    <row r="9" customFormat="false" ht="14.25" hidden="false" customHeight="false" outlineLevel="0" collapsed="false">
      <c r="A9" s="0" t="n">
        <v>551</v>
      </c>
      <c r="B9" s="0" t="n">
        <v>0.814</v>
      </c>
      <c r="C9" s="0" t="n">
        <v>10</v>
      </c>
      <c r="D9" s="0" t="n">
        <v>1.187</v>
      </c>
      <c r="E9" s="0" t="n">
        <v>10</v>
      </c>
      <c r="F9" s="3" t="n">
        <f aca="false">C9*0.89/30</f>
        <v>0.296666666666667</v>
      </c>
      <c r="G9" s="3" t="n">
        <f aca="false">E9*0.89/30</f>
        <v>0.296666666666667</v>
      </c>
      <c r="H9" s="2" t="n">
        <f aca="false">F9*10^-3/B9*10^4</f>
        <v>3.64455364455365</v>
      </c>
      <c r="I9" s="2" t="n">
        <f aca="false">G9*10^-3/D9*10^4</f>
        <v>2.49929795001404</v>
      </c>
      <c r="J9" s="3" t="n">
        <f aca="false">H9-I9</f>
        <v>1.1452556945396</v>
      </c>
      <c r="K9" s="4" t="n">
        <f aca="false">$P$9*SQRT(J9*10^-4)*10^7</f>
        <v>6.81707122848385</v>
      </c>
      <c r="L9" s="5" t="n">
        <f aca="false">$P$8*(H9+I9)*10^-4/A9*SQRT(J9*10^-4)*10^19</f>
        <v>3.25963876296548</v>
      </c>
      <c r="M9" s="6" t="n">
        <f aca="false">L9*10^-19/$P$6</f>
        <v>1.94026116843183</v>
      </c>
      <c r="O9" s="7" t="s">
        <v>27</v>
      </c>
      <c r="P9" s="1" t="n">
        <f aca="false">1.5*SQRT(P3/(P4*(P2-P5)))</f>
        <v>6.37010515909268E-005</v>
      </c>
    </row>
    <row r="10" customFormat="false" ht="14.25" hidden="false" customHeight="false" outlineLevel="0" collapsed="false">
      <c r="A10" s="0" t="n">
        <v>551</v>
      </c>
      <c r="B10" s="0" t="n">
        <v>1.151</v>
      </c>
      <c r="C10" s="0" t="n">
        <v>10</v>
      </c>
      <c r="D10" s="0" t="n">
        <v>1.372</v>
      </c>
      <c r="E10" s="0" t="n">
        <v>10</v>
      </c>
      <c r="F10" s="3" t="n">
        <f aca="false">C10*0.89/30</f>
        <v>0.296666666666667</v>
      </c>
      <c r="G10" s="3" t="n">
        <f aca="false">E10*0.89/30</f>
        <v>0.296666666666667</v>
      </c>
      <c r="H10" s="2" t="n">
        <f aca="false">F10*10^-3/B10*10^4</f>
        <v>2.57746886765132</v>
      </c>
      <c r="I10" s="2" t="n">
        <f aca="false">G10*10^-3/D10*10^4</f>
        <v>2.1622934888241</v>
      </c>
      <c r="J10" s="3" t="n">
        <f aca="false">H10-I10</f>
        <v>0.415175378827217</v>
      </c>
      <c r="K10" s="4" t="n">
        <f aca="false">$P$9*SQRT(J10*10^-4)*10^7</f>
        <v>4.10452019794323</v>
      </c>
      <c r="L10" s="5" t="n">
        <f aca="false">$P$8*(H10+I10)*10^-4/A10*SQRT(J10*10^-4)*10^19</f>
        <v>1.51408372003222</v>
      </c>
      <c r="M10" s="6" t="n">
        <f aca="false">L10*10^-19/$P$6</f>
        <v>0.90124030954299</v>
      </c>
      <c r="P10" s="8"/>
    </row>
    <row r="11" customFormat="false" ht="14.25" hidden="false" customHeight="false" outlineLevel="0" collapsed="false">
      <c r="A11" s="0" t="n">
        <v>551</v>
      </c>
      <c r="B11" s="0" t="n">
        <v>0.806</v>
      </c>
      <c r="C11" s="0" t="n">
        <v>10</v>
      </c>
      <c r="D11" s="0" t="n">
        <v>1.354</v>
      </c>
      <c r="E11" s="0" t="n">
        <v>10</v>
      </c>
      <c r="F11" s="3" t="n">
        <f aca="false">C11*0.89/30</f>
        <v>0.296666666666667</v>
      </c>
      <c r="G11" s="3" t="n">
        <f aca="false">E11*0.89/30</f>
        <v>0.296666666666667</v>
      </c>
      <c r="H11" s="2" t="n">
        <f aca="false">F11*10^-3/B11*10^4</f>
        <v>3.68072787427626</v>
      </c>
      <c r="I11" s="2" t="n">
        <f aca="false">G11*10^-3/D11*10^4</f>
        <v>2.19103889709503</v>
      </c>
      <c r="J11" s="3" t="n">
        <f aca="false">H11-I11</f>
        <v>1.48968897718123</v>
      </c>
      <c r="K11" s="4" t="n">
        <f aca="false">$P$9*SQRT(J11*10^-4)*10^7</f>
        <v>7.77489269707087</v>
      </c>
      <c r="L11" s="5" t="n">
        <f aca="false">$P$8*(H11+I11)*10^-4/A11*SQRT(J11*10^-4)*10^19</f>
        <v>3.5529911530065</v>
      </c>
      <c r="M11" s="6" t="n">
        <f aca="false">L11*10^-19/$P$6</f>
        <v>2.1148756863134</v>
      </c>
    </row>
    <row r="12" customFormat="false" ht="14.25" hidden="false" customHeight="false" outlineLevel="0" collapsed="false">
      <c r="A12" s="0" t="n">
        <v>551</v>
      </c>
      <c r="B12" s="0" t="n">
        <v>1.063</v>
      </c>
      <c r="C12" s="0" t="n">
        <v>10</v>
      </c>
      <c r="D12" s="0" t="n">
        <v>1.159</v>
      </c>
      <c r="E12" s="0" t="n">
        <v>10</v>
      </c>
      <c r="F12" s="3" t="n">
        <f aca="false">C12*0.89/30</f>
        <v>0.296666666666667</v>
      </c>
      <c r="G12" s="3" t="n">
        <f aca="false">E12*0.89/30</f>
        <v>0.296666666666667</v>
      </c>
      <c r="H12" s="2" t="n">
        <f aca="false">F12*10^-3/B12*10^4</f>
        <v>2.79084352461587</v>
      </c>
      <c r="I12" s="2" t="n">
        <f aca="false">G12*10^-3/D12*10^4</f>
        <v>2.55967788323267</v>
      </c>
      <c r="J12" s="3" t="n">
        <f aca="false">H12-I12</f>
        <v>0.231165641383195</v>
      </c>
      <c r="K12" s="4" t="n">
        <f aca="false">$P$9*SQRT(J12*10^-4)*10^7</f>
        <v>3.0627266961341</v>
      </c>
      <c r="L12" s="5" t="n">
        <f aca="false">$P$8*(H12+I12)*10^-4/A12*SQRT(J12*10^-4)*10^19</f>
        <v>1.27536729324188</v>
      </c>
      <c r="M12" s="6" t="n">
        <f aca="false">L12*10^-19/$P$6</f>
        <v>0.75914719835826</v>
      </c>
    </row>
    <row r="13" customFormat="false" ht="14.25" hidden="false" customHeight="false" outlineLevel="0" collapsed="false">
      <c r="A13" s="0" t="n">
        <v>451</v>
      </c>
      <c r="B13" s="0" t="n">
        <v>0.336</v>
      </c>
      <c r="C13" s="0" t="n">
        <v>10</v>
      </c>
      <c r="D13" s="0" t="n">
        <v>0.495</v>
      </c>
      <c r="E13" s="0" t="n">
        <v>10</v>
      </c>
      <c r="F13" s="3" t="n">
        <f aca="false">C13*0.89/30</f>
        <v>0.296666666666667</v>
      </c>
      <c r="G13" s="3" t="n">
        <f aca="false">E13*0.89/30</f>
        <v>0.296666666666667</v>
      </c>
      <c r="H13" s="2" t="n">
        <f aca="false">F13*10^-3/B13*10^4</f>
        <v>8.82936507936508</v>
      </c>
      <c r="I13" s="2" t="n">
        <f aca="false">G13*10^-3/D13*10^4</f>
        <v>5.99326599326599</v>
      </c>
      <c r="J13" s="3" t="n">
        <f aca="false">H13-I13</f>
        <v>2.83609908609909</v>
      </c>
      <c r="K13" s="4" t="n">
        <f aca="false">$P$9*SQRT(J13*10^-4)*10^7</f>
        <v>10.727716841722</v>
      </c>
      <c r="L13" s="5" t="n">
        <f aca="false">$P$8*(H13+I13)*10^-4/A13*SQRT(J13*10^-4)*10^19</f>
        <v>15.1195401762186</v>
      </c>
      <c r="M13" s="6" t="n">
        <f aca="false">L13*10^-19/$P$6</f>
        <v>8.99972629536821</v>
      </c>
    </row>
    <row r="14" customFormat="false" ht="14.25" hidden="false" customHeight="false" outlineLevel="0" collapsed="false">
      <c r="A14" s="0" t="n">
        <v>451</v>
      </c>
      <c r="B14" s="0" t="n">
        <v>0.363</v>
      </c>
      <c r="C14" s="0" t="n">
        <v>10</v>
      </c>
      <c r="D14" s="0" t="n">
        <v>0.726</v>
      </c>
      <c r="E14" s="0" t="n">
        <v>10</v>
      </c>
      <c r="F14" s="3" t="n">
        <f aca="false">C14*0.89/30</f>
        <v>0.296666666666667</v>
      </c>
      <c r="G14" s="3" t="n">
        <f aca="false">E14*0.89/30</f>
        <v>0.296666666666667</v>
      </c>
      <c r="H14" s="2" t="n">
        <f aca="false">F14*10^-3/B14*10^4</f>
        <v>8.17263544536272</v>
      </c>
      <c r="I14" s="2" t="n">
        <f aca="false">G14*10^-3/D14*10^4</f>
        <v>4.08631772268136</v>
      </c>
      <c r="J14" s="3" t="n">
        <f aca="false">H14-I14</f>
        <v>4.08631772268136</v>
      </c>
      <c r="K14" s="4" t="n">
        <f aca="false">$P$9*SQRT(J14*10^-4)*10^7</f>
        <v>12.8769398614807</v>
      </c>
      <c r="L14" s="5" t="n">
        <f aca="false">$P$8*(H14+I14)*10^-4/A14*SQRT(J14*10^-4)*10^19</f>
        <v>15.0097008128698</v>
      </c>
      <c r="M14" s="6" t="n">
        <f aca="false">L14*10^-19/$P$6</f>
        <v>8.93434572194632</v>
      </c>
    </row>
    <row r="15" customFormat="false" ht="14.25" hidden="false" customHeight="false" outlineLevel="0" collapsed="false">
      <c r="A15" s="0" t="n">
        <v>451</v>
      </c>
      <c r="B15" s="0" t="n">
        <v>0.336</v>
      </c>
      <c r="C15" s="0" t="n">
        <v>10</v>
      </c>
      <c r="D15" s="0" t="n">
        <v>0.345</v>
      </c>
      <c r="E15" s="0" t="n">
        <v>10</v>
      </c>
      <c r="F15" s="3" t="n">
        <f aca="false">C15*0.89/30</f>
        <v>0.296666666666667</v>
      </c>
      <c r="G15" s="3" t="n">
        <f aca="false">E15*0.89/30</f>
        <v>0.296666666666667</v>
      </c>
      <c r="H15" s="2" t="n">
        <f aca="false">F15*10^-3/B15*10^4</f>
        <v>8.82936507936508</v>
      </c>
      <c r="I15" s="2" t="n">
        <f aca="false">G15*10^-3/D15*10^4</f>
        <v>8.59903381642512</v>
      </c>
      <c r="J15" s="3" t="n">
        <f aca="false">H15-I15</f>
        <v>0.230331262939957</v>
      </c>
      <c r="K15" s="4" t="n">
        <f aca="false">$P$9*SQRT(J15*10^-4)*10^7</f>
        <v>3.05719433577761</v>
      </c>
      <c r="L15" s="5" t="n">
        <f aca="false">$P$8*(H15+I15)*10^-4/A15*SQRT(J15*10^-4)*10^19</f>
        <v>5.06624886952146</v>
      </c>
      <c r="M15" s="6" t="n">
        <f aca="false">L15*10^-19/$P$6</f>
        <v>3.01562432709611</v>
      </c>
    </row>
    <row r="16" customFormat="false" ht="14.25" hidden="false" customHeight="false" outlineLevel="0" collapsed="false">
      <c r="A16" s="0" t="n">
        <v>451</v>
      </c>
      <c r="B16" s="0" t="n">
        <v>0.336</v>
      </c>
      <c r="C16" s="0" t="n">
        <v>10</v>
      </c>
      <c r="D16" s="0" t="n">
        <v>0.54</v>
      </c>
      <c r="E16" s="0" t="n">
        <v>10</v>
      </c>
      <c r="F16" s="3" t="n">
        <f aca="false">C16*0.89/30</f>
        <v>0.296666666666667</v>
      </c>
      <c r="G16" s="3" t="n">
        <f aca="false">E16*0.89/30</f>
        <v>0.296666666666667</v>
      </c>
      <c r="H16" s="2" t="n">
        <f aca="false">F16*10^-3/B16*10^4</f>
        <v>8.82936507936508</v>
      </c>
      <c r="I16" s="2" t="n">
        <f aca="false">G16*10^-3/D16*10^4</f>
        <v>5.49382716049383</v>
      </c>
      <c r="J16" s="3" t="n">
        <f aca="false">H16-I16</f>
        <v>3.33553791887125</v>
      </c>
      <c r="K16" s="4" t="n">
        <f aca="false">$P$9*SQRT(J16*10^-4)*10^7</f>
        <v>11.6340129502597</v>
      </c>
      <c r="L16" s="5" t="n">
        <f aca="false">$P$8*(H16+I16)*10^-4/A16*SQRT(J16*10^-4)*10^19</f>
        <v>15.844383513605</v>
      </c>
      <c r="M16" s="6" t="n">
        <f aca="false">L16*10^-19/$P$6</f>
        <v>9.43118066286013</v>
      </c>
    </row>
    <row r="17" customFormat="false" ht="14.25" hidden="false" customHeight="false" outlineLevel="0" collapsed="false">
      <c r="A17" s="0" t="n">
        <v>451</v>
      </c>
      <c r="B17" s="0" t="n">
        <v>0.372</v>
      </c>
      <c r="C17" s="0" t="n">
        <v>10</v>
      </c>
      <c r="D17" s="0" t="n">
        <v>0.549</v>
      </c>
      <c r="E17" s="0" t="n">
        <v>10</v>
      </c>
      <c r="F17" s="3" t="n">
        <f aca="false">C17*0.89/30</f>
        <v>0.296666666666667</v>
      </c>
      <c r="G17" s="3" t="n">
        <f aca="false">E17*0.89/30</f>
        <v>0.296666666666667</v>
      </c>
      <c r="H17" s="2" t="n">
        <f aca="false">F17*10^-3/B17*10^4</f>
        <v>7.97491039426523</v>
      </c>
      <c r="I17" s="2" t="n">
        <f aca="false">G17*10^-3/D17*10^4</f>
        <v>5.40376442015786</v>
      </c>
      <c r="J17" s="3" t="n">
        <f aca="false">H17-I17</f>
        <v>2.57114597410737</v>
      </c>
      <c r="K17" s="4" t="n">
        <f aca="false">$P$9*SQRT(J17*10^-4)*10^7</f>
        <v>10.2143319771027</v>
      </c>
      <c r="L17" s="5" t="n">
        <f aca="false">$P$8*(H17+I17)*10^-4/A17*SQRT(J17*10^-4)*10^19</f>
        <v>12.9935867051848</v>
      </c>
      <c r="M17" s="6" t="n">
        <f aca="false">L17*10^-19/$P$6</f>
        <v>7.73427780070524</v>
      </c>
    </row>
    <row r="18" customFormat="false" ht="14.25" hidden="false" customHeight="false" outlineLevel="0" collapsed="false">
      <c r="A18" s="0" t="n">
        <v>300</v>
      </c>
      <c r="B18" s="0" t="n">
        <v>0.584</v>
      </c>
      <c r="C18" s="0" t="n">
        <v>10</v>
      </c>
      <c r="D18" s="0" t="n">
        <v>1.371</v>
      </c>
      <c r="E18" s="0" t="n">
        <v>10</v>
      </c>
      <c r="F18" s="3" t="n">
        <f aca="false">C18*0.89/30</f>
        <v>0.296666666666667</v>
      </c>
      <c r="G18" s="3" t="n">
        <f aca="false">E18*0.89/30</f>
        <v>0.296666666666667</v>
      </c>
      <c r="H18" s="2" t="n">
        <f aca="false">F18*10^-3/B18*10^4</f>
        <v>5.07990867579909</v>
      </c>
      <c r="I18" s="2" t="n">
        <f aca="false">G18*10^-3/D18*10^4</f>
        <v>2.16387065402383</v>
      </c>
      <c r="J18" s="3" t="n">
        <f aca="false">H18-I18</f>
        <v>2.91603802177526</v>
      </c>
      <c r="K18" s="4" t="n">
        <f aca="false">$P$9*SQRT(J18*10^-4)*10^7</f>
        <v>10.8778531858279</v>
      </c>
      <c r="L18" s="5" t="n">
        <f aca="false">$P$8*(H18+I18)*10^-4/A18*SQRT(J18*10^-4)*10^19</f>
        <v>11.2634043187579</v>
      </c>
      <c r="M18" s="6" t="n">
        <f aca="false">L18*10^-19/$P$6</f>
        <v>6.704407332594</v>
      </c>
    </row>
    <row r="19" customFormat="false" ht="14.25" hidden="false" customHeight="false" outlineLevel="0" collapsed="false">
      <c r="A19" s="0" t="n">
        <v>300</v>
      </c>
      <c r="B19" s="0" t="n">
        <v>0.461</v>
      </c>
      <c r="C19" s="0" t="n">
        <v>10</v>
      </c>
      <c r="D19" s="0" t="n">
        <v>0.558</v>
      </c>
      <c r="E19" s="0" t="n">
        <v>10</v>
      </c>
      <c r="F19" s="3" t="n">
        <f aca="false">C19*0.89/30</f>
        <v>0.296666666666667</v>
      </c>
      <c r="G19" s="3" t="n">
        <f aca="false">E19*0.89/30</f>
        <v>0.296666666666667</v>
      </c>
      <c r="H19" s="2" t="n">
        <f aca="false">F19*10^-3/B19*10^4</f>
        <v>6.4352856109906</v>
      </c>
      <c r="I19" s="2" t="n">
        <f aca="false">G19*10^-3/D19*10^4</f>
        <v>5.31660692951016</v>
      </c>
      <c r="J19" s="3" t="n">
        <f aca="false">H19-I19</f>
        <v>1.11867868148045</v>
      </c>
      <c r="K19" s="4" t="n">
        <f aca="false">$P$9*SQRT(J19*10^-4)*10^7</f>
        <v>6.73750782758658</v>
      </c>
      <c r="L19" s="5" t="n">
        <f aca="false">$P$8*(H19+I19)*10^-4/A19*SQRT(J19*10^-4)*10^19</f>
        <v>11.317965446528</v>
      </c>
      <c r="M19" s="6" t="n">
        <f aca="false">L19*10^-19/$P$6</f>
        <v>6.7368841943619</v>
      </c>
    </row>
    <row r="20" customFormat="false" ht="14.25" hidden="false" customHeight="false" outlineLevel="0" collapsed="false">
      <c r="A20" s="0" t="n">
        <v>300</v>
      </c>
      <c r="B20" s="0" t="n">
        <v>0.504</v>
      </c>
      <c r="C20" s="0" t="n">
        <v>10</v>
      </c>
      <c r="D20" s="0" t="n">
        <v>0.62</v>
      </c>
      <c r="E20" s="0" t="n">
        <v>10</v>
      </c>
      <c r="F20" s="3" t="n">
        <f aca="false">C20*0.89/30</f>
        <v>0.296666666666667</v>
      </c>
      <c r="G20" s="3" t="n">
        <f aca="false">E20*0.89/30</f>
        <v>0.296666666666667</v>
      </c>
      <c r="H20" s="2" t="n">
        <f aca="false">F20*10^-3/B20*10^4</f>
        <v>5.88624338624339</v>
      </c>
      <c r="I20" s="2" t="n">
        <f aca="false">G20*10^-3/D20*10^4</f>
        <v>4.78494623655914</v>
      </c>
      <c r="J20" s="3" t="n">
        <f aca="false">H20-I20</f>
        <v>1.10129714968425</v>
      </c>
      <c r="K20" s="4" t="n">
        <f aca="false">$P$9*SQRT(J20*10^-4)*10^7</f>
        <v>6.68496071510913</v>
      </c>
      <c r="L20" s="5" t="n">
        <f aca="false">$P$8*(H20+I20)*10^-4/A20*SQRT(J20*10^-4)*10^19</f>
        <v>10.197012836001</v>
      </c>
      <c r="M20" s="6" t="n">
        <f aca="false">L20*10^-19/$P$6</f>
        <v>6.06965049761966</v>
      </c>
    </row>
    <row r="21" customFormat="false" ht="14.25" hidden="false" customHeight="false" outlineLevel="0" collapsed="false">
      <c r="A21" s="0" t="n">
        <v>300</v>
      </c>
      <c r="B21" s="0" t="n">
        <v>0.486</v>
      </c>
      <c r="C21" s="0" t="n">
        <v>10</v>
      </c>
      <c r="D21" s="0" t="n">
        <v>0.575</v>
      </c>
      <c r="E21" s="0" t="n">
        <v>10</v>
      </c>
      <c r="F21" s="3" t="n">
        <f aca="false">C21*0.89/30</f>
        <v>0.296666666666667</v>
      </c>
      <c r="G21" s="3" t="n">
        <f aca="false">E21*0.89/30</f>
        <v>0.296666666666667</v>
      </c>
      <c r="H21" s="2" t="n">
        <f aca="false">F21*10^-3/B21*10^4</f>
        <v>6.1042524005487</v>
      </c>
      <c r="I21" s="2" t="n">
        <f aca="false">G21*10^-3/D21*10^4</f>
        <v>5.15942028985507</v>
      </c>
      <c r="J21" s="3" t="n">
        <f aca="false">H21-I21</f>
        <v>0.944832110693624</v>
      </c>
      <c r="K21" s="4" t="n">
        <f aca="false">$P$9*SQRT(J21*10^-4)*10^7</f>
        <v>6.19189986189951</v>
      </c>
      <c r="L21" s="5" t="n">
        <f aca="false">$P$8*(H21+I21)*10^-4/A21*SQRT(J21*10^-4)*10^19</f>
        <v>9.96931263009684</v>
      </c>
      <c r="M21" s="6" t="n">
        <f aca="false">L21*10^-19/$P$6</f>
        <v>5.93411466077193</v>
      </c>
    </row>
    <row r="22" customFormat="false" ht="14.25" hidden="false" customHeight="false" outlineLevel="0" collapsed="false">
      <c r="A22" s="0" t="n">
        <v>300</v>
      </c>
      <c r="B22" s="0" t="n">
        <v>0.469</v>
      </c>
      <c r="C22" s="0" t="n">
        <v>10</v>
      </c>
      <c r="D22" s="0" t="n">
        <v>0.726</v>
      </c>
      <c r="E22" s="0" t="n">
        <v>10</v>
      </c>
      <c r="F22" s="3" t="n">
        <f aca="false">C22*0.89/30</f>
        <v>0.296666666666667</v>
      </c>
      <c r="G22" s="3" t="n">
        <f aca="false">E22*0.89/30</f>
        <v>0.296666666666667</v>
      </c>
      <c r="H22" s="2" t="n">
        <f aca="false">F22*10^-3/B22*10^4</f>
        <v>6.32551528073916</v>
      </c>
      <c r="I22" s="2" t="n">
        <f aca="false">G22*10^-3/D22*10^4</f>
        <v>4.08631772268136</v>
      </c>
      <c r="J22" s="3" t="n">
        <f aca="false">H22-I22</f>
        <v>2.2391975580578</v>
      </c>
      <c r="K22" s="4" t="n">
        <f aca="false">$P$9*SQRT(J22*10^-4)*10^7</f>
        <v>9.53219257733434</v>
      </c>
      <c r="L22" s="5" t="n">
        <f aca="false">$P$8*(H22+I22)*10^-4/A22*SQRT(J22*10^-4)*10^19</f>
        <v>14.1866962726149</v>
      </c>
      <c r="M22" s="6" t="n">
        <f aca="false">L22*10^-19/$P$6</f>
        <v>8.4444620670327</v>
      </c>
    </row>
    <row r="23" customFormat="false" ht="14.25" hidden="false" customHeight="false" outlineLevel="0" collapsed="false">
      <c r="H23" s="2"/>
      <c r="I23" s="2"/>
      <c r="J23" s="3"/>
      <c r="K23" s="4"/>
      <c r="L23" s="5"/>
      <c r="M23" s="6"/>
    </row>
    <row r="24" customFormat="false" ht="14.25" hidden="false" customHeight="false" outlineLevel="0" collapsed="false">
      <c r="A24" s="0" t="n">
        <v>602</v>
      </c>
      <c r="B24" s="9" t="n">
        <v>0.468</v>
      </c>
      <c r="C24" s="0" t="n">
        <v>10</v>
      </c>
      <c r="D24" s="0" t="n">
        <v>0.568</v>
      </c>
      <c r="E24" s="0" t="n">
        <v>10</v>
      </c>
      <c r="F24" s="2" t="n">
        <f aca="false">C24*0.89/30</f>
        <v>0.296666666666667</v>
      </c>
      <c r="G24" s="2" t="n">
        <f aca="false">E24*0.89/30</f>
        <v>0.296666666666667</v>
      </c>
      <c r="H24" s="2" t="n">
        <f aca="false">F24*10^-3/B24*10^4</f>
        <v>6.33903133903134</v>
      </c>
      <c r="I24" s="2" t="n">
        <f aca="false">G24*10^-3/D24*10^4</f>
        <v>5.22300469483568</v>
      </c>
      <c r="J24" s="2" t="n">
        <f aca="false">H24-I24</f>
        <v>1.11602664419566</v>
      </c>
      <c r="K24" s="2" t="n">
        <f aca="false">$P$9*SQRT(J24*10^-4)*10^7</f>
        <v>6.72951682679035</v>
      </c>
      <c r="L24" s="2" t="n">
        <f aca="false">$P$8*(H24+I24)*10^-4/A24*SQRT(J24*10^-4)*10^19</f>
        <v>5.54248127766766</v>
      </c>
      <c r="M24" s="2" t="n">
        <f aca="false">L24*10^-19/$P$6</f>
        <v>3.2990959986117</v>
      </c>
      <c r="N24" s="10" t="s">
        <v>28</v>
      </c>
    </row>
    <row r="25" customFormat="false" ht="14.25" hidden="false" customHeight="false" outlineLevel="0" collapsed="false">
      <c r="A25" s="0" t="n">
        <v>602</v>
      </c>
      <c r="B25" s="9" t="n">
        <v>0.502</v>
      </c>
      <c r="C25" s="0" t="n">
        <v>10</v>
      </c>
      <c r="D25" s="11" t="n">
        <v>0.602</v>
      </c>
      <c r="E25" s="0" t="n">
        <v>10</v>
      </c>
      <c r="F25" s="2" t="n">
        <f aca="false">C25*0.89/30</f>
        <v>0.296666666666667</v>
      </c>
      <c r="G25" s="2" t="n">
        <f aca="false">E25*0.89/30</f>
        <v>0.296666666666667</v>
      </c>
      <c r="H25" s="2" t="n">
        <f aca="false">F25*10^-3/B25*10^4</f>
        <v>5.90969455511288</v>
      </c>
      <c r="I25" s="2" t="n">
        <f aca="false">G25*10^-3/D25*10^4</f>
        <v>4.92801771871539</v>
      </c>
      <c r="J25" s="2" t="n">
        <f aca="false">H25-I25</f>
        <v>0.981676836397488</v>
      </c>
      <c r="K25" s="2" t="n">
        <f aca="false">$P$9*SQRT(J25*10^-4)*10^7</f>
        <v>6.31147510590668</v>
      </c>
      <c r="L25" s="2" t="n">
        <f aca="false">$P$8*(H25+I25)*10^-4/A25*SQRT(J25*10^-4)*10^19</f>
        <v>4.87253001771345</v>
      </c>
      <c r="M25" s="2" t="n">
        <f aca="false">L25*10^-19/$P$6</f>
        <v>2.9003154867342</v>
      </c>
      <c r="N25" s="10" t="s">
        <v>28</v>
      </c>
    </row>
    <row r="26" customFormat="false" ht="14.25" hidden="false" customHeight="false" outlineLevel="0" collapsed="false">
      <c r="A26" s="0" t="n">
        <v>602</v>
      </c>
      <c r="B26" s="9" t="n">
        <v>0.501</v>
      </c>
      <c r="C26" s="0" t="n">
        <v>10</v>
      </c>
      <c r="D26" s="0" t="n">
        <v>0.559</v>
      </c>
      <c r="E26" s="0" t="n">
        <v>10</v>
      </c>
      <c r="F26" s="2" t="n">
        <f aca="false">C26*0.89/30</f>
        <v>0.296666666666667</v>
      </c>
      <c r="G26" s="2" t="n">
        <f aca="false">E26*0.89/30</f>
        <v>0.296666666666667</v>
      </c>
      <c r="H26" s="2" t="n">
        <f aca="false">F26*10^-3/B26*10^4</f>
        <v>5.92149035262808</v>
      </c>
      <c r="I26" s="2" t="n">
        <f aca="false">G26*10^-3/D26*10^4</f>
        <v>5.30709600477042</v>
      </c>
      <c r="J26" s="2" t="n">
        <f aca="false">H26-I26</f>
        <v>0.614394347857656</v>
      </c>
      <c r="K26" s="2" t="n">
        <f aca="false">$P$9*SQRT(J26*10^-4)*10^7</f>
        <v>4.99309935220382</v>
      </c>
      <c r="L26" s="2" t="n">
        <f aca="false">$P$8*(H26+I26)*10^-4/A26*SQRT(J26*10^-4)*10^19</f>
        <v>3.99375412380858</v>
      </c>
      <c r="M26" s="2" t="n">
        <f aca="false">L26*10^-19/$P$6</f>
        <v>2.37723459750511</v>
      </c>
      <c r="N26" s="10" t="s">
        <v>28</v>
      </c>
    </row>
    <row r="27" customFormat="false" ht="14.25" hidden="false" customHeight="false" outlineLevel="0" collapsed="false">
      <c r="A27" s="0" t="n">
        <v>602</v>
      </c>
      <c r="B27" s="9" t="n">
        <v>0.435</v>
      </c>
      <c r="C27" s="0" t="n">
        <v>10</v>
      </c>
      <c r="D27" s="0" t="n">
        <v>0.534</v>
      </c>
      <c r="E27" s="0" t="n">
        <v>10</v>
      </c>
      <c r="F27" s="2" t="n">
        <f aca="false">C27*0.89/30</f>
        <v>0.296666666666667</v>
      </c>
      <c r="G27" s="2" t="n">
        <f aca="false">E27*0.89/30</f>
        <v>0.296666666666667</v>
      </c>
      <c r="H27" s="2" t="n">
        <f aca="false">F27*10^-3/B27*10^4</f>
        <v>6.81992337164751</v>
      </c>
      <c r="I27" s="2" t="n">
        <f aca="false">G27*10^-3/D27*10^4</f>
        <v>5.55555555555556</v>
      </c>
      <c r="J27" s="2" t="n">
        <f aca="false">H27-I27</f>
        <v>1.26436781609196</v>
      </c>
      <c r="K27" s="2" t="n">
        <f aca="false">$P$9*SQRT(J27*10^-4)*10^7</f>
        <v>7.16280813356489</v>
      </c>
      <c r="L27" s="2" t="n">
        <f aca="false">$P$8*(H27+I27)*10^-4/A27*SQRT(J27*10^-4)*10^19</f>
        <v>6.31438947492698</v>
      </c>
      <c r="M27" s="2" t="n">
        <f aca="false">L27*10^-19/$P$6</f>
        <v>3.75856516364701</v>
      </c>
      <c r="N27" s="10" t="s">
        <v>28</v>
      </c>
    </row>
    <row r="28" customFormat="false" ht="14.25" hidden="false" customHeight="false" outlineLevel="0" collapsed="false">
      <c r="A28" s="0" t="n">
        <v>602</v>
      </c>
      <c r="B28" s="9" t="n">
        <v>0.484</v>
      </c>
      <c r="C28" s="0" t="n">
        <v>10</v>
      </c>
      <c r="D28" s="0" t="n">
        <v>0.601</v>
      </c>
      <c r="E28" s="0" t="n">
        <v>10</v>
      </c>
      <c r="F28" s="2" t="n">
        <f aca="false">C28*0.89/30</f>
        <v>0.296666666666667</v>
      </c>
      <c r="G28" s="2" t="n">
        <f aca="false">E28*0.89/30</f>
        <v>0.296666666666667</v>
      </c>
      <c r="H28" s="2" t="n">
        <f aca="false">F28*10^-3/B28*10^4</f>
        <v>6.12947658402204</v>
      </c>
      <c r="I28" s="2" t="n">
        <f aca="false">G28*10^-3/D28*10^4</f>
        <v>4.93621741541875</v>
      </c>
      <c r="J28" s="2" t="n">
        <f aca="false">H28-I28</f>
        <v>1.19325916860329</v>
      </c>
      <c r="K28" s="2" t="n">
        <f aca="false">$P$9*SQRT(J28*10^-4)*10^7</f>
        <v>6.95847372726452</v>
      </c>
      <c r="L28" s="2" t="n">
        <f aca="false">$P$8*(H28+I28)*10^-4/A28*SQRT(J28*10^-4)*10^19</f>
        <v>5.48502588080215</v>
      </c>
      <c r="M28" s="2" t="n">
        <f aca="false">L28*10^-19/$P$6</f>
        <v>3.26489635762033</v>
      </c>
      <c r="N28" s="10" t="s">
        <v>28</v>
      </c>
    </row>
    <row r="29" customFormat="false" ht="14.25" hidden="false" customHeight="false" outlineLevel="0" collapsed="false">
      <c r="A29" s="0" t="n">
        <v>602</v>
      </c>
      <c r="B29" s="9" t="n">
        <v>0.571</v>
      </c>
      <c r="C29" s="0" t="n">
        <v>10</v>
      </c>
      <c r="D29" s="0" t="n">
        <v>0.586</v>
      </c>
      <c r="E29" s="0" t="n">
        <v>10</v>
      </c>
      <c r="F29" s="2" t="n">
        <f aca="false">C29*0.89/30</f>
        <v>0.296666666666667</v>
      </c>
      <c r="G29" s="2" t="n">
        <f aca="false">E29*0.89/30</f>
        <v>0.296666666666667</v>
      </c>
      <c r="H29" s="2" t="n">
        <f aca="false">F29*10^-3/B29*10^4</f>
        <v>5.19556333917105</v>
      </c>
      <c r="I29" s="2" t="n">
        <f aca="false">G29*10^-3/D29*10^4</f>
        <v>5.06257110352674</v>
      </c>
      <c r="J29" s="2" t="n">
        <f aca="false">H29-I29</f>
        <v>0.13299223564431</v>
      </c>
      <c r="K29" s="2" t="n">
        <f aca="false">$P$9*SQRT(J29*10^-4)*10^7</f>
        <v>2.32305635343915</v>
      </c>
      <c r="L29" s="2" t="n">
        <f aca="false">$P$8*(H29+I29)*10^-4/A29*SQRT(J29*10^-4)*10^19</f>
        <v>1.69751712639112</v>
      </c>
      <c r="M29" s="2" t="n">
        <f aca="false">L29*10^-19/$P$6</f>
        <v>1.0104268609471</v>
      </c>
      <c r="N29" s="10" t="s">
        <v>28</v>
      </c>
    </row>
    <row r="30" customFormat="false" ht="14.25" hidden="false" customHeight="false" outlineLevel="0" collapsed="false">
      <c r="A30" s="0" t="n">
        <v>602</v>
      </c>
      <c r="B30" s="9" t="n">
        <v>0.502</v>
      </c>
      <c r="C30" s="0" t="n">
        <v>10</v>
      </c>
      <c r="D30" s="0" t="n">
        <v>0.601</v>
      </c>
      <c r="E30" s="0" t="n">
        <v>10</v>
      </c>
      <c r="F30" s="2" t="n">
        <f aca="false">C30*0.89/30</f>
        <v>0.296666666666667</v>
      </c>
      <c r="G30" s="2" t="n">
        <f aca="false">E30*0.89/30</f>
        <v>0.296666666666667</v>
      </c>
      <c r="H30" s="2" t="n">
        <f aca="false">F30*10^-3/B30*10^4</f>
        <v>5.90969455511288</v>
      </c>
      <c r="I30" s="2" t="n">
        <f aca="false">G30*10^-3/D30*10^4</f>
        <v>4.93621741541875</v>
      </c>
      <c r="J30" s="2" t="n">
        <f aca="false">H30-I30</f>
        <v>0.973477139694135</v>
      </c>
      <c r="K30" s="2" t="n">
        <f aca="false">$P$9*SQRT(J30*10^-4)*10^7</f>
        <v>6.28506075975984</v>
      </c>
      <c r="L30" s="2" t="n">
        <f aca="false">$P$8*(H30+I30)*10^-4/A30*SQRT(J30*10^-4)*10^19</f>
        <v>4.85580891973474</v>
      </c>
      <c r="M30" s="2" t="n">
        <f aca="false">L30*10^-19/$P$6</f>
        <v>2.89036245222306</v>
      </c>
      <c r="N30" s="10" t="s">
        <v>28</v>
      </c>
    </row>
    <row r="31" customFormat="false" ht="14.25" hidden="false" customHeight="false" outlineLevel="0" collapsed="false">
      <c r="A31" s="0" t="n">
        <v>602</v>
      </c>
      <c r="B31" s="9" t="n">
        <v>0.54</v>
      </c>
      <c r="C31" s="0" t="n">
        <v>10</v>
      </c>
      <c r="D31" s="0" t="n">
        <v>0.569</v>
      </c>
      <c r="E31" s="0" t="n">
        <v>10</v>
      </c>
      <c r="F31" s="2" t="n">
        <f aca="false">C31*0.89/30</f>
        <v>0.296666666666667</v>
      </c>
      <c r="G31" s="2" t="n">
        <f aca="false">E31*0.89/30</f>
        <v>0.296666666666667</v>
      </c>
      <c r="H31" s="2" t="n">
        <f aca="false">F31*10^-3/B31*10^4</f>
        <v>5.49382716049383</v>
      </c>
      <c r="I31" s="2" t="n">
        <f aca="false">G31*10^-3/D31*10^4</f>
        <v>5.21382542472174</v>
      </c>
      <c r="J31" s="2" t="n">
        <f aca="false">H31-I31</f>
        <v>0.280001735772093</v>
      </c>
      <c r="K31" s="2" t="n">
        <f aca="false">$P$9*SQRT(J31*10^-4)*10^7</f>
        <v>3.37075326317247</v>
      </c>
      <c r="L31" s="2" t="n">
        <f aca="false">$P$8*(H31+I31)*10^-4/A31*SQRT(J31*10^-4)*10^19</f>
        <v>2.57103073448898</v>
      </c>
      <c r="M31" s="2" t="n">
        <f aca="false">L31*10^-19/$P$6</f>
        <v>1.53037543719582</v>
      </c>
      <c r="N31" s="10" t="s">
        <v>28</v>
      </c>
    </row>
    <row r="32" customFormat="false" ht="14.25" hidden="false" customHeight="false" outlineLevel="0" collapsed="false">
      <c r="A32" s="0" t="n">
        <v>602</v>
      </c>
      <c r="B32" s="9" t="n">
        <v>0.501</v>
      </c>
      <c r="C32" s="0" t="n">
        <v>10</v>
      </c>
      <c r="D32" s="0" t="n">
        <v>0.535</v>
      </c>
      <c r="E32" s="0" t="n">
        <v>10</v>
      </c>
      <c r="F32" s="2" t="n">
        <f aca="false">C32*0.89/30</f>
        <v>0.296666666666667</v>
      </c>
      <c r="G32" s="2" t="n">
        <f aca="false">E32*0.89/30</f>
        <v>0.296666666666667</v>
      </c>
      <c r="H32" s="2" t="n">
        <f aca="false">F32*10^-3/B32*10^4</f>
        <v>5.92149035262808</v>
      </c>
      <c r="I32" s="2" t="n">
        <f aca="false">G32*10^-3/D32*10^4</f>
        <v>5.54517133956386</v>
      </c>
      <c r="J32" s="2" t="n">
        <f aca="false">H32-I32</f>
        <v>0.376319013064214</v>
      </c>
      <c r="K32" s="2" t="n">
        <f aca="false">$P$9*SQRT(J32*10^-4)*10^7</f>
        <v>3.90773119982034</v>
      </c>
      <c r="L32" s="2" t="n">
        <f aca="false">$P$8*(H32+I32)*10^-4/A32*SQRT(J32*10^-4)*10^19</f>
        <v>3.19188851897821</v>
      </c>
      <c r="M32" s="2" t="n">
        <f aca="false">L32*10^-19/$P$6</f>
        <v>1.89993364224894</v>
      </c>
      <c r="N32" s="10" t="s">
        <v>28</v>
      </c>
    </row>
    <row r="33" customFormat="false" ht="14.25" hidden="false" customHeight="false" outlineLevel="0" collapsed="false">
      <c r="A33" s="0" t="n">
        <v>602</v>
      </c>
      <c r="B33" s="9" t="n">
        <v>0.97</v>
      </c>
      <c r="C33" s="0" t="n">
        <v>10</v>
      </c>
      <c r="D33" s="0" t="n">
        <v>1.601</v>
      </c>
      <c r="E33" s="0" t="n">
        <v>10</v>
      </c>
      <c r="F33" s="2" t="n">
        <f aca="false">C33*0.89/30</f>
        <v>0.296666666666667</v>
      </c>
      <c r="G33" s="2" t="n">
        <f aca="false">E33*0.89/30</f>
        <v>0.296666666666667</v>
      </c>
      <c r="H33" s="2" t="n">
        <f aca="false">F33*10^-3/B33*10^4</f>
        <v>3.05841924398625</v>
      </c>
      <c r="I33" s="2" t="n">
        <f aca="false">G33*10^-3/D33*10^4</f>
        <v>1.85300853633146</v>
      </c>
      <c r="J33" s="2" t="n">
        <f aca="false">H33-I33</f>
        <v>1.20541070765479</v>
      </c>
      <c r="K33" s="2" t="n">
        <f aca="false">$P$9*SQRT(J33*10^-4)*10^7</f>
        <v>6.99381474431851</v>
      </c>
      <c r="L33" s="2" t="n">
        <f aca="false">$P$8*(H33+I33)*10^-4/A33*SQRT(J33*10^-4)*10^19</f>
        <v>2.44685322850677</v>
      </c>
      <c r="M33" s="2" t="n">
        <f aca="false">L33*10^-19/$P$6</f>
        <v>1.45646025506355</v>
      </c>
      <c r="N33" s="10" t="s">
        <v>29</v>
      </c>
    </row>
    <row r="34" customFormat="false" ht="14.25" hidden="false" customHeight="false" outlineLevel="0" collapsed="false">
      <c r="A34" s="0" t="n">
        <v>602</v>
      </c>
      <c r="B34" s="9" t="n">
        <v>1.07</v>
      </c>
      <c r="C34" s="0" t="n">
        <v>10</v>
      </c>
      <c r="D34" s="0" t="n">
        <v>1.569</v>
      </c>
      <c r="E34" s="0" t="n">
        <v>10</v>
      </c>
      <c r="F34" s="2" t="n">
        <f aca="false">C34*0.89/30</f>
        <v>0.296666666666667</v>
      </c>
      <c r="G34" s="2" t="n">
        <f aca="false">E34*0.89/30</f>
        <v>0.296666666666667</v>
      </c>
      <c r="H34" s="2" t="n">
        <f aca="false">F34*10^-3/B34*10^4</f>
        <v>2.77258566978193</v>
      </c>
      <c r="I34" s="2" t="n">
        <f aca="false">G34*10^-3/D34*10^4</f>
        <v>1.89080093477799</v>
      </c>
      <c r="J34" s="2" t="n">
        <f aca="false">H34-I34</f>
        <v>0.881784735003942</v>
      </c>
      <c r="K34" s="2" t="n">
        <f aca="false">$P$9*SQRT(J34*10^-4)*10^7</f>
        <v>5.98174492721061</v>
      </c>
      <c r="L34" s="2" t="n">
        <f aca="false">$P$8*(H34+I34)*10^-4/A34*SQRT(J34*10^-4)*10^19</f>
        <v>1.98707996090356</v>
      </c>
      <c r="M34" s="2" t="n">
        <f aca="false">L34*10^-19/$P$6</f>
        <v>1.18278569101402</v>
      </c>
      <c r="N34" s="10" t="s">
        <v>29</v>
      </c>
    </row>
    <row r="35" customFormat="false" ht="14.25" hidden="false" customHeight="false" outlineLevel="0" collapsed="false">
      <c r="A35" s="0" t="n">
        <v>602</v>
      </c>
      <c r="B35" s="9" t="n">
        <v>1.07</v>
      </c>
      <c r="C35" s="0" t="n">
        <v>10</v>
      </c>
      <c r="D35" s="0" t="n">
        <v>1.535</v>
      </c>
      <c r="E35" s="0" t="n">
        <v>10</v>
      </c>
      <c r="F35" s="2" t="n">
        <f aca="false">C35*0.89/30</f>
        <v>0.296666666666667</v>
      </c>
      <c r="G35" s="2" t="n">
        <f aca="false">E35*0.89/30</f>
        <v>0.296666666666667</v>
      </c>
      <c r="H35" s="2" t="n">
        <f aca="false">F35*10^-3/B35*10^4</f>
        <v>2.77258566978193</v>
      </c>
      <c r="I35" s="2" t="n">
        <f aca="false">G35*10^-3/D35*10^4</f>
        <v>1.93268186753529</v>
      </c>
      <c r="J35" s="2" t="n">
        <f aca="false">H35-I35</f>
        <v>0.839903802246644</v>
      </c>
      <c r="K35" s="2" t="n">
        <f aca="false">$P$9*SQRT(J35*10^-4)*10^7</f>
        <v>5.83796350145643</v>
      </c>
      <c r="L35" s="2" t="n">
        <f aca="false">$P$8*(H35+I35)*10^-4/A35*SQRT(J35*10^-4)*10^19</f>
        <v>1.95673372529224</v>
      </c>
      <c r="M35" s="2" t="n">
        <f aca="false">L35*10^-19/$P$6</f>
        <v>1.16472245553109</v>
      </c>
      <c r="N35" s="10" t="s">
        <v>29</v>
      </c>
    </row>
    <row r="36" customFormat="false" ht="14.25" hidden="false" customHeight="false" outlineLevel="0" collapsed="false">
      <c r="A36" s="0" t="n">
        <v>602</v>
      </c>
      <c r="B36" s="9" t="n">
        <v>1.103</v>
      </c>
      <c r="C36" s="0" t="n">
        <v>10</v>
      </c>
      <c r="D36" s="0" t="n">
        <v>2.601</v>
      </c>
      <c r="E36" s="0" t="n">
        <v>10</v>
      </c>
      <c r="F36" s="2" t="n">
        <f aca="false">C36*0.89/30</f>
        <v>0.296666666666667</v>
      </c>
      <c r="G36" s="2" t="n">
        <f aca="false">E36*0.89/30</f>
        <v>0.296666666666667</v>
      </c>
      <c r="H36" s="2" t="n">
        <f aca="false">F36*10^-3/B36*10^4</f>
        <v>2.68963433061348</v>
      </c>
      <c r="I36" s="2" t="n">
        <f aca="false">G36*10^-3/D36*10^4</f>
        <v>1.14058695373574</v>
      </c>
      <c r="J36" s="2" t="n">
        <f aca="false">H36-I36</f>
        <v>1.54904737687774</v>
      </c>
      <c r="K36" s="2" t="n">
        <f aca="false">$P$9*SQRT(J36*10^-4)*10^7</f>
        <v>7.92827949963349</v>
      </c>
      <c r="L36" s="2" t="n">
        <f aca="false">$P$8*(H36+I36)*10^-4/A36*SQRT(J36*10^-4)*10^19</f>
        <v>2.16316102938203</v>
      </c>
      <c r="M36" s="2" t="n">
        <f aca="false">L36*10^-19/$P$6</f>
        <v>1.28759585082264</v>
      </c>
      <c r="N36" s="10" t="s">
        <v>29</v>
      </c>
    </row>
    <row r="37" customFormat="false" ht="14.25" hidden="false" customHeight="false" outlineLevel="0" collapsed="false">
      <c r="A37" s="0" t="n">
        <v>602</v>
      </c>
      <c r="B37" s="9" t="n">
        <v>1.069</v>
      </c>
      <c r="C37" s="0" t="n">
        <v>10</v>
      </c>
      <c r="D37" s="0" t="n">
        <v>2.569</v>
      </c>
      <c r="E37" s="0" t="n">
        <v>10</v>
      </c>
      <c r="F37" s="2" t="n">
        <f aca="false">C37*0.89/30</f>
        <v>0.296666666666667</v>
      </c>
      <c r="G37" s="2" t="n">
        <f aca="false">E37*0.89/30</f>
        <v>0.296666666666667</v>
      </c>
      <c r="H37" s="2" t="n">
        <f aca="false">F37*10^-3/B37*10^4</f>
        <v>2.77517929529155</v>
      </c>
      <c r="I37" s="2" t="n">
        <f aca="false">G37*10^-3/D37*10^4</f>
        <v>1.15479434280524</v>
      </c>
      <c r="J37" s="2" t="n">
        <f aca="false">H37-I37</f>
        <v>1.62038495248631</v>
      </c>
      <c r="K37" s="2" t="n">
        <f aca="false">$P$9*SQRT(J37*10^-4)*10^7</f>
        <v>8.10878345189177</v>
      </c>
      <c r="L37" s="2" t="n">
        <f aca="false">$P$8*(H37+I37)*10^-4/A37*SQRT(J37*10^-4)*10^19</f>
        <v>2.27002882831328</v>
      </c>
      <c r="M37" s="2" t="n">
        <f aca="false">L37*10^-19/$P$6</f>
        <v>1.35120763590076</v>
      </c>
      <c r="N37" s="10" t="s">
        <v>29</v>
      </c>
    </row>
    <row r="38" customFormat="false" ht="14.25" hidden="false" customHeight="false" outlineLevel="0" collapsed="false">
      <c r="A38" s="0" t="n">
        <v>602</v>
      </c>
      <c r="B38" s="9" t="n">
        <v>1.103</v>
      </c>
      <c r="C38" s="0" t="n">
        <v>10</v>
      </c>
      <c r="D38" s="0" t="n">
        <v>2.535</v>
      </c>
      <c r="E38" s="0" t="n">
        <v>10</v>
      </c>
      <c r="F38" s="2" t="n">
        <f aca="false">C38*0.89/30</f>
        <v>0.296666666666667</v>
      </c>
      <c r="G38" s="2" t="n">
        <f aca="false">E38*0.89/30</f>
        <v>0.296666666666667</v>
      </c>
      <c r="H38" s="2" t="n">
        <f aca="false">F38*10^-3/B38*10^4</f>
        <v>2.68963433061348</v>
      </c>
      <c r="I38" s="2" t="n">
        <f aca="false">G38*10^-3/D38*10^4</f>
        <v>1.17028270874425</v>
      </c>
      <c r="J38" s="2" t="n">
        <f aca="false">H38-I38</f>
        <v>1.51935162186923</v>
      </c>
      <c r="K38" s="2" t="n">
        <f aca="false">$P$9*SQRT(J38*10^-4)*10^7</f>
        <v>7.85191787771469</v>
      </c>
      <c r="L38" s="2" t="n">
        <f aca="false">$P$8*(H38+I38)*10^-4/A38*SQRT(J38*10^-4)*10^19</f>
        <v>2.15893591983788</v>
      </c>
      <c r="M38" s="2" t="n">
        <f aca="false">L38*10^-19/$P$6</f>
        <v>1.2850809046654</v>
      </c>
      <c r="N38" s="10" t="s">
        <v>29</v>
      </c>
    </row>
    <row r="39" customFormat="false" ht="14.25" hidden="false" customHeight="false" outlineLevel="0" collapsed="false">
      <c r="A39" s="0" t="n">
        <v>602</v>
      </c>
      <c r="B39" s="9" t="n">
        <v>1.103</v>
      </c>
      <c r="C39" s="0" t="n">
        <v>10</v>
      </c>
      <c r="D39" s="0" t="n">
        <v>3.601</v>
      </c>
      <c r="E39" s="0" t="n">
        <v>10</v>
      </c>
      <c r="F39" s="2" t="n">
        <f aca="false">C39*0.89/30</f>
        <v>0.296666666666667</v>
      </c>
      <c r="G39" s="2" t="n">
        <f aca="false">E39*0.89/30</f>
        <v>0.296666666666667</v>
      </c>
      <c r="H39" s="2" t="n">
        <f aca="false">F39*10^-3/B39*10^4</f>
        <v>2.68963433061348</v>
      </c>
      <c r="I39" s="2" t="n">
        <f aca="false">G39*10^-3/D39*10^4</f>
        <v>0.823845228177358</v>
      </c>
      <c r="J39" s="2" t="n">
        <f aca="false">H39-I39</f>
        <v>1.86578910243612</v>
      </c>
      <c r="K39" s="2" t="n">
        <f aca="false">$P$9*SQRT(J39*10^-4)*10^7</f>
        <v>8.70117448963142</v>
      </c>
      <c r="L39" s="2" t="n">
        <f aca="false">$P$8*(H39+I39)*10^-4/A39*SQRT(J39*10^-4)*10^19</f>
        <v>2.17771650110564</v>
      </c>
      <c r="M39" s="2" t="n">
        <f aca="false">L39*10^-19/$P$6</f>
        <v>1.29625982208669</v>
      </c>
      <c r="N39" s="10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William Imamura</dc:creator>
  <dc:description/>
  <dc:language>pt-BR</dc:language>
  <cp:lastModifiedBy/>
  <dcterms:modified xsi:type="dcterms:W3CDTF">2026-04-28T11:47:33Z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