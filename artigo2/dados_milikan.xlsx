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Meu Drive\2_semestre\FISB106 - Estrutura da Matéria Experimental\2 - Experimento de Millikan\"/>
    </mc:Choice>
  </mc:AlternateContent>
  <xr:revisionPtr revIDLastSave="0" documentId="13_ncr:1_{D5BD8742-7C79-4B9A-8BD3-1C2373DAE0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1" l="1"/>
  <c r="I19" i="1"/>
  <c r="I20" i="1"/>
  <c r="I21" i="1"/>
  <c r="I22" i="1"/>
  <c r="H18" i="1"/>
  <c r="H19" i="1"/>
  <c r="H20" i="1"/>
  <c r="H21" i="1"/>
  <c r="H22" i="1"/>
  <c r="G18" i="1"/>
  <c r="G19" i="1"/>
  <c r="G20" i="1"/>
  <c r="G21" i="1"/>
  <c r="G22" i="1"/>
  <c r="F18" i="1"/>
  <c r="F19" i="1"/>
  <c r="F20" i="1"/>
  <c r="F21" i="1"/>
  <c r="F22" i="1"/>
  <c r="I7" i="1"/>
  <c r="H7" i="1"/>
  <c r="J7" i="1" s="1"/>
  <c r="H11" i="1"/>
  <c r="H17" i="1"/>
  <c r="G4" i="1"/>
  <c r="I4" i="1" s="1"/>
  <c r="G5" i="1"/>
  <c r="I5" i="1" s="1"/>
  <c r="G6" i="1"/>
  <c r="I6" i="1" s="1"/>
  <c r="G7" i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F4" i="1"/>
  <c r="H4" i="1" s="1"/>
  <c r="F5" i="1"/>
  <c r="H5" i="1" s="1"/>
  <c r="F6" i="1"/>
  <c r="H6" i="1" s="1"/>
  <c r="F7" i="1"/>
  <c r="F8" i="1"/>
  <c r="H8" i="1" s="1"/>
  <c r="F9" i="1"/>
  <c r="H9" i="1" s="1"/>
  <c r="F10" i="1"/>
  <c r="H10" i="1" s="1"/>
  <c r="F11" i="1"/>
  <c r="F12" i="1"/>
  <c r="H12" i="1" s="1"/>
  <c r="F13" i="1"/>
  <c r="H13" i="1" s="1"/>
  <c r="F14" i="1"/>
  <c r="H14" i="1" s="1"/>
  <c r="F15" i="1"/>
  <c r="H15" i="1" s="1"/>
  <c r="F16" i="1"/>
  <c r="H16" i="1" s="1"/>
  <c r="F17" i="1"/>
  <c r="P9" i="1"/>
  <c r="K7" i="1" s="1"/>
  <c r="P8" i="1"/>
  <c r="G3" i="1"/>
  <c r="I3" i="1" s="1"/>
  <c r="F3" i="1"/>
  <c r="H3" i="1" s="1"/>
  <c r="J22" i="1" l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L16" i="1" s="1"/>
  <c r="M16" i="1" s="1"/>
  <c r="J14" i="1"/>
  <c r="K14" i="1" s="1"/>
  <c r="J15" i="1"/>
  <c r="K15" i="1" s="1"/>
  <c r="L15" i="1"/>
  <c r="M15" i="1" s="1"/>
  <c r="L7" i="1"/>
  <c r="M7" i="1" s="1"/>
  <c r="J11" i="1"/>
  <c r="K11" i="1" s="1"/>
  <c r="J13" i="1"/>
  <c r="K13" i="1" s="1"/>
  <c r="J12" i="1"/>
  <c r="K12" i="1" s="1"/>
  <c r="J10" i="1"/>
  <c r="K10" i="1" s="1"/>
  <c r="J9" i="1"/>
  <c r="K9" i="1" s="1"/>
  <c r="J8" i="1"/>
  <c r="K8" i="1" s="1"/>
  <c r="J6" i="1"/>
  <c r="K6" i="1" s="1"/>
  <c r="J5" i="1"/>
  <c r="K5" i="1" s="1"/>
  <c r="L5" i="1"/>
  <c r="M5" i="1" s="1"/>
  <c r="J4" i="1"/>
  <c r="K4" i="1" s="1"/>
  <c r="J3" i="1"/>
  <c r="L3" i="1"/>
  <c r="M3" i="1" s="1"/>
  <c r="K3" i="1"/>
  <c r="L22" i="1" l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K16" i="1"/>
  <c r="L14" i="1"/>
  <c r="M14" i="1" s="1"/>
  <c r="L4" i="1"/>
  <c r="M4" i="1" s="1"/>
  <c r="L11" i="1"/>
  <c r="M11" i="1" s="1"/>
  <c r="L12" i="1"/>
  <c r="M12" i="1" s="1"/>
  <c r="L13" i="1"/>
  <c r="M13" i="1" s="1"/>
  <c r="L8" i="1"/>
  <c r="M8" i="1" s="1"/>
  <c r="L10" i="1"/>
  <c r="M10" i="1" s="1"/>
  <c r="L9" i="1"/>
  <c r="M9" i="1" s="1"/>
  <c r="L6" i="1"/>
  <c r="M6" i="1" s="1"/>
</calcChain>
</file>

<file path=xl/sharedStrings.xml><?xml version="1.0" encoding="utf-8"?>
<sst xmlns="http://schemas.openxmlformats.org/spreadsheetml/2006/main" count="33" uniqueCount="28">
  <si>
    <t>U</t>
  </si>
  <si>
    <t>(V)</t>
  </si>
  <si>
    <t>(s)</t>
  </si>
  <si>
    <t>(div)</t>
  </si>
  <si>
    <t>s1_sub</t>
  </si>
  <si>
    <t>s2_desc.</t>
  </si>
  <si>
    <t>t2_desc.</t>
  </si>
  <si>
    <t>s1_sub.</t>
  </si>
  <si>
    <t>t1_sub.</t>
  </si>
  <si>
    <t>(div.)</t>
  </si>
  <si>
    <t>(mm)</t>
  </si>
  <si>
    <t>(m/s)</t>
  </si>
  <si>
    <t>10^4.v1_sub</t>
  </si>
  <si>
    <t>p1 (kg m^-3)</t>
  </si>
  <si>
    <t>n (kg m-1 s-1)</t>
  </si>
  <si>
    <t>g (m s-2)</t>
  </si>
  <si>
    <t>p2 (kg m^-3)</t>
  </si>
  <si>
    <t>d (m)</t>
  </si>
  <si>
    <t>10^4.v2_desc.</t>
  </si>
  <si>
    <t>C1</t>
  </si>
  <si>
    <t>C2</t>
  </si>
  <si>
    <t>10^4(v1-v2)</t>
  </si>
  <si>
    <t>(m)</t>
  </si>
  <si>
    <t>10^7*r</t>
  </si>
  <si>
    <t>10^19*Q</t>
  </si>
  <si>
    <t>(A.s)</t>
  </si>
  <si>
    <t>e (A.s)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</si>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</sst>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2" fontId="0" fillId="0" borderId="0" xfId="0" applyNumberFormat="1"/>
    <xf numFmtId="168" fontId="0" fillId="0" borderId="0" xfId="0" applyNumberFormat="1"/>
    <xf numFmtId="16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A3" workbookViewId="0">
      <selection activeCell="K8" sqref="K8:L22"/>
    </sheetView>
  </sheetViews>
  <sheetFormatPr defaultRowHeight="14.5" x14ac:dyDescent="0.35"/>
  <cols>
    <col min="2" max="2" width="9.7265625" bestFit="1" customWidth="1"/>
    <col min="8" max="8" width="11.26953125" bestFit="1" customWidth="1"/>
    <col min="9" max="9" width="12.54296875" bestFit="1" customWidth="1"/>
    <col min="10" max="13" width="12.54296875" customWidth="1"/>
    <col min="15" max="15" width="12.08984375" bestFit="1" customWidth="1"/>
  </cols>
  <sheetData>
    <row r="1" spans="1:17" x14ac:dyDescent="0.35">
      <c r="A1" t="s">
        <v>0</v>
      </c>
      <c r="B1" t="s">
        <v>8</v>
      </c>
      <c r="C1" t="s">
        <v>7</v>
      </c>
      <c r="D1" t="s">
        <v>6</v>
      </c>
      <c r="E1" t="s">
        <v>5</v>
      </c>
      <c r="F1" t="s">
        <v>4</v>
      </c>
      <c r="G1" t="s">
        <v>5</v>
      </c>
      <c r="H1" t="s">
        <v>12</v>
      </c>
      <c r="I1" t="s">
        <v>18</v>
      </c>
      <c r="J1" t="s">
        <v>21</v>
      </c>
      <c r="K1" t="s">
        <v>23</v>
      </c>
      <c r="L1" t="s">
        <v>24</v>
      </c>
      <c r="M1" t="s">
        <v>27</v>
      </c>
      <c r="O1" t="s">
        <v>17</v>
      </c>
      <c r="P1" s="1">
        <v>2.5000000000000001E-3</v>
      </c>
      <c r="Q1" s="1"/>
    </row>
    <row r="2" spans="1:17" x14ac:dyDescent="0.35">
      <c r="A2" t="s">
        <v>1</v>
      </c>
      <c r="B2" t="s">
        <v>2</v>
      </c>
      <c r="C2" t="s">
        <v>3</v>
      </c>
      <c r="D2" t="s">
        <v>2</v>
      </c>
      <c r="E2" t="s">
        <v>9</v>
      </c>
      <c r="F2" t="s">
        <v>10</v>
      </c>
      <c r="G2" t="s">
        <v>10</v>
      </c>
      <c r="H2" t="s">
        <v>11</v>
      </c>
      <c r="I2" t="s">
        <v>11</v>
      </c>
      <c r="J2" t="s">
        <v>11</v>
      </c>
      <c r="K2" t="s">
        <v>22</v>
      </c>
      <c r="L2" t="s">
        <v>25</v>
      </c>
      <c r="O2" t="s">
        <v>13</v>
      </c>
      <c r="P2">
        <v>1030</v>
      </c>
    </row>
    <row r="3" spans="1:17" x14ac:dyDescent="0.35">
      <c r="A3">
        <v>300</v>
      </c>
      <c r="B3">
        <v>9.6</v>
      </c>
      <c r="C3">
        <v>150</v>
      </c>
      <c r="D3">
        <v>13.5</v>
      </c>
      <c r="E3">
        <v>150</v>
      </c>
      <c r="F3">
        <f>C3*0.89/30</f>
        <v>4.45</v>
      </c>
      <c r="G3">
        <f>E3*0.89/30</f>
        <v>4.45</v>
      </c>
      <c r="H3">
        <f>F3*10^-3/B3*10^4</f>
        <v>4.635416666666667</v>
      </c>
      <c r="I3">
        <f>G3*10^-3/D3*10^4</f>
        <v>3.2962962962962963</v>
      </c>
      <c r="J3">
        <f>H3-I3</f>
        <v>1.3391203703703707</v>
      </c>
      <c r="K3" s="4">
        <f>$P$9*SQRT(J3*10^-4)*10^7</f>
        <v>7.3715091688739847</v>
      </c>
      <c r="L3" s="3">
        <f>$P$8*(H3+I3)*10^-4/A3*SQRT(J3*10^-4)*10^19</f>
        <v>8.3576594076966071</v>
      </c>
      <c r="M3" s="5">
        <f>L3*10^-19/$P$6</f>
        <v>4.9747972664860756</v>
      </c>
      <c r="O3" t="s">
        <v>14</v>
      </c>
      <c r="P3" s="1">
        <v>1.8199999999999999E-5</v>
      </c>
    </row>
    <row r="4" spans="1:17" x14ac:dyDescent="0.35">
      <c r="A4">
        <v>300</v>
      </c>
      <c r="B4">
        <v>7</v>
      </c>
      <c r="C4">
        <v>90</v>
      </c>
      <c r="D4">
        <v>11.2</v>
      </c>
      <c r="E4">
        <v>120</v>
      </c>
      <c r="F4">
        <f t="shared" ref="F4:F22" si="0">C4*0.89/30</f>
        <v>2.67</v>
      </c>
      <c r="G4">
        <f t="shared" ref="G4:G22" si="1">E4*0.89/30</f>
        <v>3.56</v>
      </c>
      <c r="H4">
        <f t="shared" ref="H4:H22" si="2">F4*10^-3/B4*10^4</f>
        <v>3.8142857142857145</v>
      </c>
      <c r="I4">
        <f t="shared" ref="I4:I22" si="3">G4*10^-3/D4*10^4</f>
        <v>3.1785714285714288</v>
      </c>
      <c r="J4">
        <f t="shared" ref="J4:J22" si="4">H4-I4</f>
        <v>0.63571428571428568</v>
      </c>
      <c r="K4" s="4">
        <f t="shared" ref="K4:K22" si="5">$P$9*SQRT(J4*10^-4)*10^7</f>
        <v>5.0789926846296609</v>
      </c>
      <c r="L4" s="3">
        <f>$P$8*(H4+I4)*10^-4/A4*SQRT(J4*10^-4)*10^19</f>
        <v>5.0768404236711859</v>
      </c>
      <c r="M4" s="5">
        <f t="shared" ref="M4:M22" si="6">L4*10^-19/$P$6</f>
        <v>3.0219288236138011</v>
      </c>
      <c r="O4" t="s">
        <v>15</v>
      </c>
      <c r="P4">
        <v>9.81</v>
      </c>
    </row>
    <row r="5" spans="1:17" x14ac:dyDescent="0.35">
      <c r="A5">
        <v>300</v>
      </c>
      <c r="B5">
        <v>5.8</v>
      </c>
      <c r="C5">
        <v>90</v>
      </c>
      <c r="D5">
        <v>7.1</v>
      </c>
      <c r="E5">
        <v>60</v>
      </c>
      <c r="F5">
        <f t="shared" si="0"/>
        <v>2.67</v>
      </c>
      <c r="G5">
        <f t="shared" si="1"/>
        <v>1.78</v>
      </c>
      <c r="H5">
        <f t="shared" si="2"/>
        <v>4.6034482758620694</v>
      </c>
      <c r="I5">
        <f t="shared" si="3"/>
        <v>2.507042253521127</v>
      </c>
      <c r="J5">
        <f t="shared" si="4"/>
        <v>2.0964060223409424</v>
      </c>
      <c r="K5" s="4">
        <f t="shared" si="5"/>
        <v>9.2232568088786486</v>
      </c>
      <c r="L5" s="3">
        <f t="shared" ref="L5:L22" si="7">$P$8*(H5+I5)*10^-4/A5*SQRT(J5*10^-4)*10^19</f>
        <v>9.3744356620576301</v>
      </c>
      <c r="M5" s="5">
        <f t="shared" si="6"/>
        <v>5.5800212274152567</v>
      </c>
      <c r="O5" t="s">
        <v>16</v>
      </c>
      <c r="P5">
        <v>1.2929999999999999</v>
      </c>
    </row>
    <row r="6" spans="1:17" x14ac:dyDescent="0.35">
      <c r="A6">
        <v>400</v>
      </c>
      <c r="B6">
        <v>6.9</v>
      </c>
      <c r="C6">
        <v>90</v>
      </c>
      <c r="D6">
        <v>9.8000000000000007</v>
      </c>
      <c r="E6">
        <v>90</v>
      </c>
      <c r="F6">
        <f t="shared" si="0"/>
        <v>2.67</v>
      </c>
      <c r="G6">
        <f t="shared" si="1"/>
        <v>2.67</v>
      </c>
      <c r="H6">
        <f t="shared" si="2"/>
        <v>3.8695652173913042</v>
      </c>
      <c r="I6">
        <f t="shared" si="3"/>
        <v>2.7244897959183674</v>
      </c>
      <c r="J6">
        <f t="shared" si="4"/>
        <v>1.1450754214729368</v>
      </c>
      <c r="K6" s="4">
        <f t="shared" si="5"/>
        <v>6.8165346746352551</v>
      </c>
      <c r="L6" s="3">
        <f t="shared" si="7"/>
        <v>4.8187982845558874</v>
      </c>
      <c r="M6" s="5">
        <f t="shared" si="6"/>
        <v>2.8683323122356472</v>
      </c>
      <c r="O6" t="s">
        <v>26</v>
      </c>
      <c r="P6" s="1">
        <v>1.6799999999999999E-19</v>
      </c>
    </row>
    <row r="7" spans="1:17" x14ac:dyDescent="0.35">
      <c r="F7">
        <f t="shared" si="0"/>
        <v>0</v>
      </c>
      <c r="G7">
        <f t="shared" si="1"/>
        <v>0</v>
      </c>
      <c r="H7" t="e">
        <f t="shared" si="2"/>
        <v>#DIV/0!</v>
      </c>
      <c r="I7" t="e">
        <f t="shared" si="3"/>
        <v>#DIV/0!</v>
      </c>
      <c r="J7" t="e">
        <f t="shared" si="4"/>
        <v>#DIV/0!</v>
      </c>
      <c r="K7" s="4" t="e">
        <f t="shared" si="5"/>
        <v>#DIV/0!</v>
      </c>
      <c r="L7" s="3" t="e">
        <f t="shared" si="7"/>
        <v>#DIV/0!</v>
      </c>
      <c r="M7" s="5" t="e">
        <f t="shared" si="6"/>
        <v>#DIV/0!</v>
      </c>
    </row>
    <row r="8" spans="1:17" x14ac:dyDescent="0.35">
      <c r="A8">
        <v>551</v>
      </c>
      <c r="B8">
        <v>0.80600000000000005</v>
      </c>
      <c r="C8">
        <v>10</v>
      </c>
      <c r="D8">
        <v>1.2210000000000001</v>
      </c>
      <c r="E8">
        <v>10</v>
      </c>
      <c r="F8">
        <f t="shared" si="0"/>
        <v>0.29666666666666669</v>
      </c>
      <c r="G8">
        <f t="shared" si="1"/>
        <v>0.29666666666666669</v>
      </c>
      <c r="H8">
        <f t="shared" si="2"/>
        <v>3.6807278742762612</v>
      </c>
      <c r="I8">
        <f t="shared" si="3"/>
        <v>2.4297024297024299</v>
      </c>
      <c r="J8">
        <f t="shared" si="4"/>
        <v>1.2510254445738314</v>
      </c>
      <c r="K8" s="4">
        <f t="shared" si="5"/>
        <v>7.1249147649728997</v>
      </c>
      <c r="L8" s="3">
        <f t="shared" si="7"/>
        <v>3.3883041940439917</v>
      </c>
      <c r="M8" s="5">
        <f t="shared" si="6"/>
        <v>2.0168477345499953</v>
      </c>
      <c r="O8" t="s">
        <v>19</v>
      </c>
      <c r="P8" s="1">
        <f>4.5*PI()*P1*SQRT(P3^3/(P4*(P2-P5)))</f>
        <v>2.7316756153595999E-11</v>
      </c>
    </row>
    <row r="9" spans="1:17" x14ac:dyDescent="0.35">
      <c r="A9">
        <v>551</v>
      </c>
      <c r="B9">
        <v>0.81399999999999995</v>
      </c>
      <c r="C9">
        <v>10</v>
      </c>
      <c r="D9">
        <v>1.1870000000000001</v>
      </c>
      <c r="E9">
        <v>10</v>
      </c>
      <c r="F9">
        <f t="shared" si="0"/>
        <v>0.29666666666666669</v>
      </c>
      <c r="G9">
        <f t="shared" si="1"/>
        <v>0.29666666666666669</v>
      </c>
      <c r="H9">
        <f t="shared" si="2"/>
        <v>3.6445536445536453</v>
      </c>
      <c r="I9">
        <f t="shared" si="3"/>
        <v>2.4992979500140415</v>
      </c>
      <c r="J9">
        <f t="shared" si="4"/>
        <v>1.1452556945396037</v>
      </c>
      <c r="K9" s="4">
        <f t="shared" si="5"/>
        <v>6.8170712284838464</v>
      </c>
      <c r="L9" s="3">
        <f t="shared" si="7"/>
        <v>3.2596387629654764</v>
      </c>
      <c r="M9" s="5">
        <f t="shared" si="6"/>
        <v>1.9402611684318314</v>
      </c>
      <c r="O9" t="s">
        <v>20</v>
      </c>
      <c r="P9" s="1">
        <f>1.5*SQRT(P3/(P4*(P2-P5)))</f>
        <v>6.3701051590926794E-5</v>
      </c>
    </row>
    <row r="10" spans="1:17" x14ac:dyDescent="0.35">
      <c r="A10">
        <v>551</v>
      </c>
      <c r="B10">
        <v>1.151</v>
      </c>
      <c r="C10">
        <v>10</v>
      </c>
      <c r="D10">
        <v>1.3720000000000001</v>
      </c>
      <c r="E10">
        <v>10</v>
      </c>
      <c r="F10">
        <f t="shared" si="0"/>
        <v>0.29666666666666669</v>
      </c>
      <c r="G10">
        <f t="shared" si="1"/>
        <v>0.29666666666666669</v>
      </c>
      <c r="H10">
        <f t="shared" si="2"/>
        <v>2.577468867651318</v>
      </c>
      <c r="I10">
        <f t="shared" si="3"/>
        <v>2.1622934888241012</v>
      </c>
      <c r="J10">
        <f t="shared" si="4"/>
        <v>0.41517537882721678</v>
      </c>
      <c r="K10" s="4">
        <f t="shared" si="5"/>
        <v>4.104520197943228</v>
      </c>
      <c r="L10" s="3">
        <f t="shared" si="7"/>
        <v>1.5140837200322232</v>
      </c>
      <c r="M10" s="5">
        <f>L10*10^-19/$P$6</f>
        <v>0.90124030954298995</v>
      </c>
      <c r="P10" s="2"/>
    </row>
    <row r="11" spans="1:17" x14ac:dyDescent="0.35">
      <c r="A11">
        <v>551</v>
      </c>
      <c r="B11">
        <v>0.80600000000000005</v>
      </c>
      <c r="C11">
        <v>10</v>
      </c>
      <c r="D11">
        <v>1.3540000000000001</v>
      </c>
      <c r="E11">
        <v>10</v>
      </c>
      <c r="F11">
        <f t="shared" si="0"/>
        <v>0.29666666666666669</v>
      </c>
      <c r="G11">
        <f t="shared" si="1"/>
        <v>0.29666666666666669</v>
      </c>
      <c r="H11">
        <f t="shared" si="2"/>
        <v>3.6807278742762612</v>
      </c>
      <c r="I11">
        <f t="shared" si="3"/>
        <v>2.1910388970950274</v>
      </c>
      <c r="J11">
        <f t="shared" si="4"/>
        <v>1.4896889771812338</v>
      </c>
      <c r="K11" s="4">
        <f t="shared" si="5"/>
        <v>7.7748926970708681</v>
      </c>
      <c r="L11" s="3">
        <f t="shared" si="7"/>
        <v>3.5529911530065035</v>
      </c>
      <c r="M11" s="5">
        <f t="shared" si="6"/>
        <v>2.1148756863133951</v>
      </c>
    </row>
    <row r="12" spans="1:17" x14ac:dyDescent="0.35">
      <c r="A12">
        <v>551</v>
      </c>
      <c r="B12">
        <v>1.0629999999999999</v>
      </c>
      <c r="C12">
        <v>10</v>
      </c>
      <c r="D12">
        <v>1.159</v>
      </c>
      <c r="E12">
        <v>10</v>
      </c>
      <c r="F12">
        <f t="shared" si="0"/>
        <v>0.29666666666666669</v>
      </c>
      <c r="G12">
        <f t="shared" si="1"/>
        <v>0.29666666666666669</v>
      </c>
      <c r="H12">
        <f t="shared" si="2"/>
        <v>2.7908435246158674</v>
      </c>
      <c r="I12">
        <f t="shared" si="3"/>
        <v>2.5596778832326721</v>
      </c>
      <c r="J12">
        <f t="shared" si="4"/>
        <v>0.23116564138319529</v>
      </c>
      <c r="K12" s="4">
        <f t="shared" si="5"/>
        <v>3.0627266961341042</v>
      </c>
      <c r="L12" s="3">
        <f t="shared" si="7"/>
        <v>1.2753672932418767</v>
      </c>
      <c r="M12" s="5">
        <f t="shared" si="6"/>
        <v>0.75914719835825994</v>
      </c>
    </row>
    <row r="13" spans="1:17" x14ac:dyDescent="0.35">
      <c r="A13">
        <v>451</v>
      </c>
      <c r="B13">
        <v>0.33600000000000002</v>
      </c>
      <c r="C13">
        <v>10</v>
      </c>
      <c r="D13">
        <v>0.495</v>
      </c>
      <c r="E13">
        <v>10</v>
      </c>
      <c r="F13">
        <f t="shared" si="0"/>
        <v>0.29666666666666669</v>
      </c>
      <c r="G13">
        <f t="shared" si="1"/>
        <v>0.29666666666666669</v>
      </c>
      <c r="H13">
        <f t="shared" si="2"/>
        <v>8.8293650793650809</v>
      </c>
      <c r="I13">
        <f t="shared" si="3"/>
        <v>5.993265993265994</v>
      </c>
      <c r="J13">
        <f t="shared" si="4"/>
        <v>2.8360990860990869</v>
      </c>
      <c r="K13" s="4">
        <f t="shared" si="5"/>
        <v>10.727716841721985</v>
      </c>
      <c r="L13" s="3">
        <f t="shared" si="7"/>
        <v>15.119540176218598</v>
      </c>
      <c r="M13" s="5">
        <f t="shared" si="6"/>
        <v>8.9997262953682142</v>
      </c>
    </row>
    <row r="14" spans="1:17" x14ac:dyDescent="0.35">
      <c r="A14">
        <v>451</v>
      </c>
      <c r="B14">
        <v>0.36299999999999999</v>
      </c>
      <c r="C14">
        <v>10</v>
      </c>
      <c r="D14">
        <v>0.72599999999999998</v>
      </c>
      <c r="E14">
        <v>10</v>
      </c>
      <c r="F14">
        <f t="shared" si="0"/>
        <v>0.29666666666666669</v>
      </c>
      <c r="G14">
        <f t="shared" si="1"/>
        <v>0.29666666666666669</v>
      </c>
      <c r="H14">
        <f t="shared" si="2"/>
        <v>8.1726354453627188</v>
      </c>
      <c r="I14">
        <f t="shared" si="3"/>
        <v>4.0863177226813594</v>
      </c>
      <c r="J14">
        <f t="shared" si="4"/>
        <v>4.0863177226813594</v>
      </c>
      <c r="K14" s="4">
        <f t="shared" si="5"/>
        <v>12.876939861480691</v>
      </c>
      <c r="L14" s="3">
        <f t="shared" si="7"/>
        <v>15.009700812869813</v>
      </c>
      <c r="M14" s="5">
        <f t="shared" si="6"/>
        <v>8.9343457219463183</v>
      </c>
    </row>
    <row r="15" spans="1:17" x14ac:dyDescent="0.35">
      <c r="A15">
        <v>451</v>
      </c>
      <c r="B15">
        <v>0.33600000000000002</v>
      </c>
      <c r="C15">
        <v>10</v>
      </c>
      <c r="D15">
        <v>0.34499999999999997</v>
      </c>
      <c r="E15">
        <v>10</v>
      </c>
      <c r="F15">
        <f t="shared" si="0"/>
        <v>0.29666666666666669</v>
      </c>
      <c r="G15">
        <f t="shared" si="1"/>
        <v>0.29666666666666669</v>
      </c>
      <c r="H15">
        <f t="shared" si="2"/>
        <v>8.8293650793650809</v>
      </c>
      <c r="I15">
        <f t="shared" si="3"/>
        <v>8.5990338164251234</v>
      </c>
      <c r="J15">
        <f t="shared" si="4"/>
        <v>0.23033126293995743</v>
      </c>
      <c r="K15" s="4">
        <f t="shared" si="5"/>
        <v>3.057194335777607</v>
      </c>
      <c r="L15" s="3">
        <f t="shared" si="7"/>
        <v>5.0662488695214574</v>
      </c>
      <c r="M15" s="5">
        <f t="shared" si="6"/>
        <v>3.0156243270961056</v>
      </c>
    </row>
    <row r="16" spans="1:17" x14ac:dyDescent="0.35">
      <c r="A16">
        <v>451</v>
      </c>
      <c r="B16">
        <v>0.33600000000000002</v>
      </c>
      <c r="C16">
        <v>10</v>
      </c>
      <c r="D16">
        <v>0.54</v>
      </c>
      <c r="E16">
        <v>10</v>
      </c>
      <c r="F16">
        <f t="shared" si="0"/>
        <v>0.29666666666666669</v>
      </c>
      <c r="G16">
        <f t="shared" si="1"/>
        <v>0.29666666666666669</v>
      </c>
      <c r="H16">
        <f t="shared" si="2"/>
        <v>8.8293650793650809</v>
      </c>
      <c r="I16">
        <f t="shared" si="3"/>
        <v>5.4938271604938276</v>
      </c>
      <c r="J16">
        <f t="shared" si="4"/>
        <v>3.3355379188712533</v>
      </c>
      <c r="K16" s="4">
        <f t="shared" si="5"/>
        <v>11.634012950259725</v>
      </c>
      <c r="L16" s="3">
        <f t="shared" si="7"/>
        <v>15.844383513605012</v>
      </c>
      <c r="M16" s="5">
        <f t="shared" si="6"/>
        <v>9.4311806628601254</v>
      </c>
    </row>
    <row r="17" spans="1:13" x14ac:dyDescent="0.35">
      <c r="A17">
        <v>451</v>
      </c>
      <c r="B17">
        <v>0.372</v>
      </c>
      <c r="C17">
        <v>10</v>
      </c>
      <c r="D17">
        <v>0.54900000000000004</v>
      </c>
      <c r="E17">
        <v>10</v>
      </c>
      <c r="F17">
        <f t="shared" si="0"/>
        <v>0.29666666666666669</v>
      </c>
      <c r="G17">
        <f t="shared" si="1"/>
        <v>0.29666666666666669</v>
      </c>
      <c r="H17">
        <f t="shared" si="2"/>
        <v>7.9749103942652333</v>
      </c>
      <c r="I17">
        <f t="shared" si="3"/>
        <v>5.4037644201578638</v>
      </c>
      <c r="J17">
        <f t="shared" si="4"/>
        <v>2.5711459741073694</v>
      </c>
      <c r="K17" s="4">
        <f t="shared" si="5"/>
        <v>10.21433197710272</v>
      </c>
      <c r="L17" s="3">
        <f t="shared" si="7"/>
        <v>12.993586705184796</v>
      </c>
      <c r="M17" s="5">
        <f t="shared" si="6"/>
        <v>7.734277800705236</v>
      </c>
    </row>
    <row r="18" spans="1:13" x14ac:dyDescent="0.35">
      <c r="A18">
        <v>300</v>
      </c>
      <c r="B18">
        <v>0.58399999999999996</v>
      </c>
      <c r="C18">
        <v>10</v>
      </c>
      <c r="D18">
        <v>1.371</v>
      </c>
      <c r="E18">
        <v>10</v>
      </c>
      <c r="F18">
        <f t="shared" si="0"/>
        <v>0.29666666666666669</v>
      </c>
      <c r="G18">
        <f t="shared" si="1"/>
        <v>0.29666666666666669</v>
      </c>
      <c r="H18">
        <f t="shared" si="2"/>
        <v>5.0799086757990874</v>
      </c>
      <c r="I18">
        <f t="shared" si="3"/>
        <v>2.1638706540238273</v>
      </c>
      <c r="J18">
        <f t="shared" si="4"/>
        <v>2.9160380217752602</v>
      </c>
      <c r="K18" s="4">
        <f t="shared" si="5"/>
        <v>10.877853185827879</v>
      </c>
      <c r="L18" s="3">
        <f t="shared" si="7"/>
        <v>11.263404318757916</v>
      </c>
      <c r="M18" s="5">
        <f t="shared" si="6"/>
        <v>6.7044073325939975</v>
      </c>
    </row>
    <row r="19" spans="1:13" x14ac:dyDescent="0.35">
      <c r="A19">
        <v>300</v>
      </c>
      <c r="B19">
        <v>0.46100000000000002</v>
      </c>
      <c r="C19">
        <v>10</v>
      </c>
      <c r="D19">
        <v>0.55800000000000005</v>
      </c>
      <c r="E19">
        <v>10</v>
      </c>
      <c r="F19">
        <f t="shared" si="0"/>
        <v>0.29666666666666669</v>
      </c>
      <c r="G19">
        <f t="shared" si="1"/>
        <v>0.29666666666666669</v>
      </c>
      <c r="H19">
        <f t="shared" si="2"/>
        <v>6.4352856109906007</v>
      </c>
      <c r="I19">
        <f t="shared" si="3"/>
        <v>5.3166069295101552</v>
      </c>
      <c r="J19">
        <f t="shared" si="4"/>
        <v>1.1186786814804455</v>
      </c>
      <c r="K19" s="4">
        <f t="shared" si="5"/>
        <v>6.7375078275865814</v>
      </c>
      <c r="L19" s="3">
        <f t="shared" si="7"/>
        <v>11.317965446527984</v>
      </c>
      <c r="M19" s="5">
        <f t="shared" si="6"/>
        <v>6.7368841943618953</v>
      </c>
    </row>
    <row r="20" spans="1:13" x14ac:dyDescent="0.35">
      <c r="A20">
        <v>300</v>
      </c>
      <c r="B20">
        <v>0.504</v>
      </c>
      <c r="C20">
        <v>10</v>
      </c>
      <c r="D20">
        <v>0.62</v>
      </c>
      <c r="E20">
        <v>10</v>
      </c>
      <c r="F20">
        <f t="shared" si="0"/>
        <v>0.29666666666666669</v>
      </c>
      <c r="G20">
        <f t="shared" si="1"/>
        <v>0.29666666666666669</v>
      </c>
      <c r="H20">
        <f t="shared" si="2"/>
        <v>5.8862433862433869</v>
      </c>
      <c r="I20">
        <f t="shared" si="3"/>
        <v>4.7849462365591409</v>
      </c>
      <c r="J20">
        <f t="shared" si="4"/>
        <v>1.1012971496842461</v>
      </c>
      <c r="K20" s="4">
        <f t="shared" si="5"/>
        <v>6.6849607151091295</v>
      </c>
      <c r="L20" s="3">
        <f t="shared" si="7"/>
        <v>10.197012836001022</v>
      </c>
      <c r="M20" s="5">
        <f t="shared" si="6"/>
        <v>6.0696504976196559</v>
      </c>
    </row>
    <row r="21" spans="1:13" x14ac:dyDescent="0.35">
      <c r="A21">
        <v>300</v>
      </c>
      <c r="B21">
        <v>0.48599999999999999</v>
      </c>
      <c r="C21">
        <v>10</v>
      </c>
      <c r="D21">
        <v>0.57499999999999996</v>
      </c>
      <c r="E21">
        <v>10</v>
      </c>
      <c r="F21">
        <f t="shared" si="0"/>
        <v>0.29666666666666669</v>
      </c>
      <c r="G21">
        <f t="shared" si="1"/>
        <v>0.29666666666666669</v>
      </c>
      <c r="H21">
        <f t="shared" si="2"/>
        <v>6.104252400548698</v>
      </c>
      <c r="I21">
        <f t="shared" si="3"/>
        <v>5.1594202898550741</v>
      </c>
      <c r="J21">
        <f t="shared" si="4"/>
        <v>0.94483211069362394</v>
      </c>
      <c r="K21" s="4">
        <f t="shared" si="5"/>
        <v>6.1918998618995085</v>
      </c>
      <c r="L21" s="3">
        <f t="shared" si="7"/>
        <v>9.9693126300968427</v>
      </c>
      <c r="M21" s="5">
        <f t="shared" si="6"/>
        <v>5.9341146607719297</v>
      </c>
    </row>
    <row r="22" spans="1:13" x14ac:dyDescent="0.35">
      <c r="A22">
        <v>300</v>
      </c>
      <c r="B22">
        <v>0.46899999999999997</v>
      </c>
      <c r="C22">
        <v>10</v>
      </c>
      <c r="D22">
        <v>0.72599999999999998</v>
      </c>
      <c r="E22">
        <v>10</v>
      </c>
      <c r="F22">
        <f t="shared" si="0"/>
        <v>0.29666666666666669</v>
      </c>
      <c r="G22">
        <f t="shared" si="1"/>
        <v>0.29666666666666669</v>
      </c>
      <c r="H22">
        <f t="shared" si="2"/>
        <v>6.3255152807391628</v>
      </c>
      <c r="I22">
        <f t="shared" si="3"/>
        <v>4.0863177226813594</v>
      </c>
      <c r="J22">
        <f t="shared" si="4"/>
        <v>2.2391975580578034</v>
      </c>
      <c r="K22" s="4">
        <f t="shared" si="5"/>
        <v>9.5321925773343423</v>
      </c>
      <c r="L22" s="3">
        <f t="shared" si="7"/>
        <v>14.186696272614935</v>
      </c>
      <c r="M22" s="5">
        <f t="shared" si="6"/>
        <v>8.4444620670326991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Imamura</dc:creator>
  <cp:lastModifiedBy>William Imamura</cp:lastModifiedBy>
  <dcterms:created xsi:type="dcterms:W3CDTF">2015-06-05T18:17:20Z</dcterms:created>
  <dcterms:modified xsi:type="dcterms:W3CDTF">2026-04-15T14:40:00Z</dcterms:modified>
</cp:coreProperties>
</file>